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lienti - archivio ed elenco\F.LLI BERTI SRL\ANALISI COSTI\"/>
    </mc:Choice>
  </mc:AlternateContent>
  <xr:revisionPtr revIDLastSave="0" documentId="13_ncr:1_{0651211C-74B3-4ABC-96A6-9B5E073DBA1A}" xr6:coauthVersionLast="36" xr6:coauthVersionMax="47" xr10:uidLastSave="{00000000-0000-0000-0000-000000000000}"/>
  <bookViews>
    <workbookView xWindow="0" yWindow="0" windowWidth="28800" windowHeight="12105" activeTab="2" xr2:uid="{C4590BCF-3D3C-4AE6-823C-4CE6E654BCFF}"/>
  </bookViews>
  <sheets>
    <sheet name="EXP_comp" sheetId="4" r:id="rId1"/>
    <sheet name="Tab_RIEP" sheetId="12" r:id="rId2"/>
    <sheet name="PROSP" sheetId="13" r:id="rId3"/>
    <sheet name="Sigle MASTRI" sheetId="8" r:id="rId4"/>
  </sheets>
  <definedNames>
    <definedName name="_xlnm._FilterDatabase" localSheetId="0" hidden="1">EXP_comp!$A$1:$P$281</definedName>
    <definedName name="_xlnm.Print_Area" localSheetId="2">PROSP!$B$6:$T$52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0" i="13" l="1"/>
  <c r="Y46" i="13" s="1"/>
  <c r="X10" i="13"/>
  <c r="V10" i="13"/>
  <c r="U10" i="13"/>
  <c r="N8" i="13"/>
  <c r="N10" i="13" s="1"/>
  <c r="S10" i="13"/>
  <c r="S46" i="13" s="1"/>
  <c r="R10" i="13"/>
  <c r="R44" i="13" s="1"/>
  <c r="P10" i="13"/>
  <c r="O10" i="13"/>
  <c r="O46" i="13" s="1"/>
  <c r="G5" i="13"/>
  <c r="D2" i="13"/>
  <c r="I5" i="13"/>
  <c r="E5" i="13"/>
  <c r="Z10" i="13"/>
  <c r="W10" i="13"/>
  <c r="T10" i="13"/>
  <c r="Q10" i="13"/>
  <c r="K10" i="13"/>
  <c r="G49" i="13"/>
  <c r="E34" i="13"/>
  <c r="I49" i="13"/>
  <c r="W45" i="13" l="1"/>
  <c r="Z45" i="13"/>
  <c r="Z46" i="13"/>
  <c r="Z30" i="13"/>
  <c r="Z31" i="13"/>
  <c r="Z32" i="13"/>
  <c r="Z33" i="13"/>
  <c r="Z34" i="13"/>
  <c r="Z35" i="13"/>
  <c r="Z44" i="13"/>
  <c r="W44" i="13"/>
  <c r="X44" i="13"/>
  <c r="Y44" i="13"/>
  <c r="W46" i="13"/>
  <c r="Y45" i="13"/>
  <c r="X46" i="13"/>
  <c r="X45" i="13"/>
  <c r="T46" i="13"/>
  <c r="R46" i="13"/>
  <c r="R45" i="13"/>
  <c r="M49" i="13"/>
  <c r="V44" i="13"/>
  <c r="U44" i="13"/>
  <c r="V45" i="13"/>
  <c r="U46" i="13"/>
  <c r="U45" i="13"/>
  <c r="V46" i="13"/>
  <c r="T45" i="13"/>
  <c r="S45" i="13"/>
  <c r="S44" i="13"/>
  <c r="T44" i="13"/>
  <c r="Q44" i="13"/>
  <c r="Q46" i="13"/>
  <c r="Q45" i="13"/>
  <c r="P44" i="13"/>
  <c r="P46" i="13"/>
  <c r="P45" i="13"/>
  <c r="O44" i="13"/>
  <c r="O45" i="13"/>
  <c r="I32" i="13"/>
  <c r="G34" i="13"/>
  <c r="I46" i="13"/>
  <c r="I34" i="13"/>
  <c r="E30" i="13"/>
  <c r="E44" i="13"/>
  <c r="G14" i="13"/>
  <c r="G31" i="13"/>
  <c r="E31" i="13"/>
  <c r="E46" i="13"/>
  <c r="G32" i="13"/>
  <c r="G19" i="13"/>
  <c r="I35" i="13"/>
  <c r="E8" i="13"/>
  <c r="E35" i="13"/>
  <c r="G8" i="13"/>
  <c r="I19" i="13"/>
  <c r="G35" i="13"/>
  <c r="I33" i="13"/>
  <c r="I31" i="13"/>
  <c r="E18" i="13"/>
  <c r="I14" i="13"/>
  <c r="G44" i="13"/>
  <c r="G18" i="13"/>
  <c r="G45" i="13"/>
  <c r="G30" i="13"/>
  <c r="E49" i="13"/>
  <c r="E45" i="13"/>
  <c r="G33" i="13"/>
  <c r="I45" i="13"/>
  <c r="E32" i="13"/>
  <c r="I8" i="13"/>
  <c r="I18" i="13"/>
  <c r="G46" i="13"/>
  <c r="E33" i="13"/>
  <c r="I30" i="13"/>
  <c r="I44" i="13"/>
  <c r="E19" i="13"/>
  <c r="E14" i="13"/>
  <c r="M30" i="13" l="1"/>
  <c r="M32" i="13"/>
  <c r="M33" i="13"/>
  <c r="M14" i="13"/>
  <c r="M16" i="13" s="1"/>
  <c r="M34" i="13"/>
  <c r="M18" i="13"/>
  <c r="M19" i="13"/>
  <c r="M35" i="13"/>
  <c r="M31" i="13"/>
  <c r="M8" i="13"/>
  <c r="M10" i="13" s="1"/>
  <c r="I36" i="13"/>
  <c r="I40" i="13" s="1"/>
  <c r="G10" i="13"/>
  <c r="H30" i="13" s="1"/>
  <c r="G20" i="13"/>
  <c r="G36" i="13"/>
  <c r="G40" i="13" s="1"/>
  <c r="I20" i="13"/>
  <c r="I16" i="13"/>
  <c r="E36" i="13"/>
  <c r="E40" i="13" s="1"/>
  <c r="E20" i="13"/>
  <c r="I10" i="13"/>
  <c r="J34" i="13" s="1"/>
  <c r="E10" i="13"/>
  <c r="F14" i="13" s="1"/>
  <c r="E16" i="13"/>
  <c r="G16" i="13"/>
  <c r="W34" i="13" l="1"/>
  <c r="Y34" i="13"/>
  <c r="U34" i="13"/>
  <c r="X34" i="13"/>
  <c r="V34" i="13"/>
  <c r="X31" i="13"/>
  <c r="Y31" i="13"/>
  <c r="W31" i="13"/>
  <c r="U31" i="13"/>
  <c r="V31" i="13"/>
  <c r="W35" i="13"/>
  <c r="X35" i="13"/>
  <c r="U35" i="13"/>
  <c r="V35" i="13"/>
  <c r="Y35" i="13"/>
  <c r="W33" i="13"/>
  <c r="Y33" i="13"/>
  <c r="U33" i="13"/>
  <c r="V33" i="13"/>
  <c r="X33" i="13"/>
  <c r="Y30" i="13"/>
  <c r="W30" i="13"/>
  <c r="X30" i="13"/>
  <c r="U30" i="13"/>
  <c r="V30" i="13"/>
  <c r="X32" i="13"/>
  <c r="Y32" i="13"/>
  <c r="U32" i="13"/>
  <c r="V32" i="13"/>
  <c r="W32" i="13"/>
  <c r="T34" i="13"/>
  <c r="Q34" i="13"/>
  <c r="Q35" i="13"/>
  <c r="T35" i="13"/>
  <c r="T33" i="13"/>
  <c r="Q33" i="13"/>
  <c r="Q31" i="13"/>
  <c r="T31" i="13"/>
  <c r="Q32" i="13"/>
  <c r="T32" i="13"/>
  <c r="T30" i="13"/>
  <c r="Q30" i="13"/>
  <c r="O30" i="13"/>
  <c r="P30" i="13"/>
  <c r="S30" i="13"/>
  <c r="R30" i="13"/>
  <c r="O32" i="13"/>
  <c r="R32" i="13"/>
  <c r="S32" i="13"/>
  <c r="P32" i="13"/>
  <c r="O33" i="13"/>
  <c r="P33" i="13"/>
  <c r="R33" i="13"/>
  <c r="S33" i="13"/>
  <c r="O34" i="13"/>
  <c r="R34" i="13"/>
  <c r="S34" i="13"/>
  <c r="P34" i="13"/>
  <c r="O31" i="13"/>
  <c r="S31" i="13"/>
  <c r="R31" i="13"/>
  <c r="P31" i="13"/>
  <c r="O35" i="13"/>
  <c r="S35" i="13"/>
  <c r="R35" i="13"/>
  <c r="P35" i="13"/>
  <c r="H45" i="13"/>
  <c r="H20" i="13"/>
  <c r="H34" i="13"/>
  <c r="H14" i="13"/>
  <c r="H16" i="13"/>
  <c r="I22" i="13"/>
  <c r="J22" i="13" s="1"/>
  <c r="F19" i="13"/>
  <c r="F40" i="13"/>
  <c r="H44" i="13"/>
  <c r="E22" i="13"/>
  <c r="F22" i="13" s="1"/>
  <c r="H32" i="13"/>
  <c r="J19" i="13"/>
  <c r="F49" i="13"/>
  <c r="F35" i="13"/>
  <c r="F45" i="13"/>
  <c r="F31" i="13"/>
  <c r="J16" i="13"/>
  <c r="J30" i="13"/>
  <c r="H18" i="13"/>
  <c r="H49" i="13"/>
  <c r="H46" i="13"/>
  <c r="H40" i="13"/>
  <c r="F44" i="13"/>
  <c r="H36" i="13"/>
  <c r="F36" i="13"/>
  <c r="F16" i="13"/>
  <c r="H33" i="13"/>
  <c r="J40" i="13"/>
  <c r="F33" i="13"/>
  <c r="F34" i="13"/>
  <c r="F46" i="13"/>
  <c r="M36" i="13"/>
  <c r="M40" i="13" s="1"/>
  <c r="J31" i="13"/>
  <c r="J45" i="13"/>
  <c r="J49" i="13"/>
  <c r="J32" i="13"/>
  <c r="F20" i="13"/>
  <c r="F18" i="13"/>
  <c r="H31" i="13"/>
  <c r="H19" i="13"/>
  <c r="F30" i="13"/>
  <c r="J20" i="13"/>
  <c r="J33" i="13"/>
  <c r="J14" i="13"/>
  <c r="J36" i="13"/>
  <c r="J46" i="13"/>
  <c r="J18" i="13"/>
  <c r="J35" i="13"/>
  <c r="H35" i="13"/>
  <c r="G22" i="13"/>
  <c r="G26" i="13" s="1"/>
  <c r="H26" i="13" s="1"/>
  <c r="F32" i="13"/>
  <c r="M20" i="13"/>
  <c r="M22" i="13" s="1"/>
  <c r="M26" i="13" s="1"/>
  <c r="J44" i="13"/>
  <c r="V36" i="13" l="1"/>
  <c r="V40" i="13" s="1"/>
  <c r="U36" i="13"/>
  <c r="U40" i="13" s="1"/>
  <c r="X36" i="13"/>
  <c r="X40" i="13" s="1"/>
  <c r="Y36" i="13"/>
  <c r="Y40" i="13" s="1"/>
  <c r="N35" i="13"/>
  <c r="N33" i="13"/>
  <c r="N32" i="13"/>
  <c r="N31" i="13"/>
  <c r="N30" i="13"/>
  <c r="R36" i="13"/>
  <c r="R40" i="13" s="1"/>
  <c r="S36" i="13"/>
  <c r="S40" i="13" s="1"/>
  <c r="P36" i="13"/>
  <c r="P40" i="13" s="1"/>
  <c r="K14" i="13"/>
  <c r="Z14" i="13" s="1"/>
  <c r="Z16" i="13" s="1"/>
  <c r="K46" i="13"/>
  <c r="I26" i="13"/>
  <c r="J26" i="13" s="1"/>
  <c r="K30" i="13"/>
  <c r="O36" i="13" s="1"/>
  <c r="O40" i="13" s="1"/>
  <c r="K36" i="13"/>
  <c r="K32" i="13"/>
  <c r="K45" i="13"/>
  <c r="K19" i="13"/>
  <c r="Z19" i="13" s="1"/>
  <c r="K34" i="13"/>
  <c r="K35" i="13"/>
  <c r="K40" i="13"/>
  <c r="E26" i="13"/>
  <c r="E28" i="13" s="1"/>
  <c r="F28" i="13" s="1"/>
  <c r="H22" i="13"/>
  <c r="K22" i="13" s="1"/>
  <c r="M28" i="13"/>
  <c r="M42" i="13"/>
  <c r="M47" i="13" s="1"/>
  <c r="M51" i="13" s="1"/>
  <c r="K33" i="13"/>
  <c r="K31" i="13"/>
  <c r="K18" i="13"/>
  <c r="Z18" i="13" s="1"/>
  <c r="K16" i="13"/>
  <c r="G42" i="13"/>
  <c r="G47" i="13" s="1"/>
  <c r="H47" i="13" s="1"/>
  <c r="K49" i="13"/>
  <c r="G28" i="13"/>
  <c r="H28" i="13" s="1"/>
  <c r="K44" i="13"/>
  <c r="Z20" i="13" l="1"/>
  <c r="Y14" i="13"/>
  <c r="Y16" i="13" s="1"/>
  <c r="W14" i="13"/>
  <c r="W16" i="13" s="1"/>
  <c r="X14" i="13"/>
  <c r="X16" i="13" s="1"/>
  <c r="Y18" i="13"/>
  <c r="X18" i="13"/>
  <c r="W18" i="13"/>
  <c r="X19" i="13"/>
  <c r="Y19" i="13"/>
  <c r="W19" i="13"/>
  <c r="V14" i="13"/>
  <c r="V16" i="13" s="1"/>
  <c r="U14" i="13"/>
  <c r="U16" i="13" s="1"/>
  <c r="U18" i="13"/>
  <c r="V18" i="13"/>
  <c r="U19" i="13"/>
  <c r="V19" i="13"/>
  <c r="R14" i="13"/>
  <c r="R16" i="13" s="1"/>
  <c r="S14" i="13"/>
  <c r="S16" i="13" s="1"/>
  <c r="S19" i="13"/>
  <c r="R19" i="13"/>
  <c r="S18" i="13"/>
  <c r="R18" i="13"/>
  <c r="P18" i="13"/>
  <c r="T18" i="13"/>
  <c r="Q18" i="13"/>
  <c r="O18" i="13"/>
  <c r="P14" i="13"/>
  <c r="Q14" i="13"/>
  <c r="O14" i="13"/>
  <c r="T14" i="13"/>
  <c r="T19" i="13"/>
  <c r="Q19" i="13"/>
  <c r="P19" i="13"/>
  <c r="O19" i="13"/>
  <c r="I42" i="13"/>
  <c r="I47" i="13" s="1"/>
  <c r="I51" i="13" s="1"/>
  <c r="J51" i="13" s="1"/>
  <c r="I28" i="13"/>
  <c r="J28" i="13" s="1"/>
  <c r="K28" i="13" s="1"/>
  <c r="F26" i="13"/>
  <c r="K26" i="13" s="1"/>
  <c r="G51" i="13"/>
  <c r="H51" i="13" s="1"/>
  <c r="E42" i="13"/>
  <c r="E47" i="13" s="1"/>
  <c r="E51" i="13" s="1"/>
  <c r="F51" i="13" s="1"/>
  <c r="K20" i="13"/>
  <c r="H42" i="13"/>
  <c r="W20" i="13" l="1"/>
  <c r="W22" i="13" s="1"/>
  <c r="W26" i="13" s="1"/>
  <c r="W28" i="13" s="1"/>
  <c r="R20" i="13"/>
  <c r="R22" i="13" s="1"/>
  <c r="R26" i="13" s="1"/>
  <c r="Y20" i="13"/>
  <c r="Y22" i="13" s="1"/>
  <c r="Y26" i="13" s="1"/>
  <c r="X20" i="13"/>
  <c r="X22" i="13" s="1"/>
  <c r="X26" i="13" s="1"/>
  <c r="V20" i="13"/>
  <c r="V22" i="13" s="1"/>
  <c r="V26" i="13" s="1"/>
  <c r="N18" i="13"/>
  <c r="U20" i="13"/>
  <c r="U22" i="13" s="1"/>
  <c r="U26" i="13" s="1"/>
  <c r="S20" i="13"/>
  <c r="S22" i="13" s="1"/>
  <c r="S26" i="13" s="1"/>
  <c r="N19" i="13"/>
  <c r="O16" i="13"/>
  <c r="N14" i="13"/>
  <c r="N16" i="13" s="1"/>
  <c r="Q16" i="13"/>
  <c r="T20" i="13"/>
  <c r="T16" i="13"/>
  <c r="Z36" i="13"/>
  <c r="Z40" i="13" s="1"/>
  <c r="P16" i="13"/>
  <c r="O20" i="13"/>
  <c r="P20" i="13"/>
  <c r="K51" i="13"/>
  <c r="J47" i="13"/>
  <c r="J42" i="13"/>
  <c r="Z22" i="13"/>
  <c r="Z26" i="13" s="1"/>
  <c r="Z28" i="13" s="1"/>
  <c r="F42" i="13"/>
  <c r="F47" i="13"/>
  <c r="Q20" i="13"/>
  <c r="T22" i="13" l="1"/>
  <c r="T26" i="13" s="1"/>
  <c r="T28" i="13" s="1"/>
  <c r="X42" i="13"/>
  <c r="X47" i="13" s="1"/>
  <c r="X51" i="13" s="1"/>
  <c r="X28" i="13"/>
  <c r="Y42" i="13"/>
  <c r="Y47" i="13" s="1"/>
  <c r="Y51" i="13" s="1"/>
  <c r="Y28" i="13"/>
  <c r="U42" i="13"/>
  <c r="U47" i="13" s="1"/>
  <c r="U51" i="13" s="1"/>
  <c r="U28" i="13"/>
  <c r="V42" i="13"/>
  <c r="V47" i="13" s="1"/>
  <c r="V51" i="13" s="1"/>
  <c r="V28" i="13"/>
  <c r="O22" i="13"/>
  <c r="O26" i="13" s="1"/>
  <c r="O28" i="13" s="1"/>
  <c r="Q22" i="13"/>
  <c r="Q26" i="13" s="1"/>
  <c r="Q28" i="13" s="1"/>
  <c r="N34" i="13"/>
  <c r="W36" i="13"/>
  <c r="W40" i="13" s="1"/>
  <c r="W42" i="13" s="1"/>
  <c r="W47" i="13" s="1"/>
  <c r="W51" i="13" s="1"/>
  <c r="R42" i="13"/>
  <c r="R28" i="13"/>
  <c r="S42" i="13"/>
  <c r="S47" i="13" s="1"/>
  <c r="S51" i="13" s="1"/>
  <c r="S28" i="13"/>
  <c r="Q36" i="13"/>
  <c r="Q40" i="13" s="1"/>
  <c r="P22" i="13"/>
  <c r="P26" i="13" s="1"/>
  <c r="P42" i="13" s="1"/>
  <c r="P47" i="13" s="1"/>
  <c r="P51" i="13" s="1"/>
  <c r="N20" i="13"/>
  <c r="N22" i="13" s="1"/>
  <c r="N26" i="13" s="1"/>
  <c r="N28" i="13" s="1"/>
  <c r="K47" i="13"/>
  <c r="K42" i="13"/>
  <c r="Z42" i="13"/>
  <c r="T36" i="13"/>
  <c r="T40" i="13" s="1"/>
  <c r="T42" i="13" l="1"/>
  <c r="T47" i="13" s="1"/>
  <c r="T51" i="13" s="1"/>
  <c r="O42" i="13"/>
  <c r="O47" i="13" s="1"/>
  <c r="O51" i="13" s="1"/>
  <c r="Q42" i="13"/>
  <c r="Q47" i="13" s="1"/>
  <c r="Q51" i="13" s="1"/>
  <c r="P28" i="13"/>
  <c r="N36" i="13"/>
  <c r="N40" i="13" s="1"/>
  <c r="N42" i="13" s="1"/>
  <c r="R47" i="13"/>
  <c r="R51" i="13" s="1"/>
  <c r="N46" i="13"/>
  <c r="N45" i="13"/>
  <c r="Z47" i="13"/>
  <c r="Z51" i="13" s="1"/>
  <c r="N44" i="13"/>
  <c r="N47" i="13" l="1"/>
  <c r="N51" i="13" s="1"/>
</calcChain>
</file>

<file path=xl/sharedStrings.xml><?xml version="1.0" encoding="utf-8"?>
<sst xmlns="http://schemas.openxmlformats.org/spreadsheetml/2006/main" count="2238" uniqueCount="724">
  <si>
    <t>RICAVI</t>
  </si>
  <si>
    <t>TOTALE COSTI VARIABILI</t>
  </si>
  <si>
    <t>TOTALE COSTI FISSI</t>
  </si>
  <si>
    <t>TOTALE COSTI</t>
  </si>
  <si>
    <t>Imposte</t>
  </si>
  <si>
    <t>FATTURATO</t>
  </si>
  <si>
    <t>COSTI FISSI DI GESTIONE</t>
  </si>
  <si>
    <t>A</t>
  </si>
  <si>
    <t>ALTRI PROVENTI FINANZIARI</t>
  </si>
  <si>
    <t>87/00/000</t>
  </si>
  <si>
    <t>PROV. DIVERSI DAI PRECEDENTI</t>
  </si>
  <si>
    <t>87/20/000</t>
  </si>
  <si>
    <t>INT.ATT.SU DEPOSITI BANCARI</t>
  </si>
  <si>
    <t>87/20/035</t>
  </si>
  <si>
    <t xml:space="preserve"> 82,071-</t>
  </si>
  <si>
    <t>ALTRI RICAVI E PROVENTI</t>
  </si>
  <si>
    <t>64/00/000</t>
  </si>
  <si>
    <t>64/05/000</t>
  </si>
  <si>
    <t>100,000</t>
  </si>
  <si>
    <t>100,000-</t>
  </si>
  <si>
    <t>ARROTONDAMENTI ATTIVI</t>
  </si>
  <si>
    <t>64/05/512</t>
  </si>
  <si>
    <t>933,924</t>
  </si>
  <si>
    <t>58/00/000</t>
  </si>
  <si>
    <t>RICAVI DELLE PRESTAZ. - IMPRESE</t>
  </si>
  <si>
    <t>58/10/000</t>
  </si>
  <si>
    <t xml:space="preserve"> 13,077-</t>
  </si>
  <si>
    <t>D</t>
  </si>
  <si>
    <t>IMPOSTE SUL REDDITO DELL'ESERC.</t>
  </si>
  <si>
    <t>96/00/000</t>
  </si>
  <si>
    <t>IMPOSTE CORRENTI</t>
  </si>
  <si>
    <t>96/05/000</t>
  </si>
  <si>
    <t>ONERI STRAORDINARI</t>
  </si>
  <si>
    <t>INT. PASS.E ALTRI ONERI FINANZ.</t>
  </si>
  <si>
    <t>88/00/000</t>
  </si>
  <si>
    <t>VERSO ALTRI (ONERI FINANZIARI)</t>
  </si>
  <si>
    <t>88/20/000</t>
  </si>
  <si>
    <t>***,000</t>
  </si>
  <si>
    <t>ONERI DIVERSI DI GESTIONE</t>
  </si>
  <si>
    <t>84/00/000</t>
  </si>
  <si>
    <t>ALTRI ONERI DIVERSI DI GESTIONE</t>
  </si>
  <si>
    <t>84/10/000</t>
  </si>
  <si>
    <t>ARROTONDAMENTI PASSIVI</t>
  </si>
  <si>
    <t>84/10/524</t>
  </si>
  <si>
    <t>SPESE VARIE AMMINISTRATIVE</t>
  </si>
  <si>
    <t>84/10/504</t>
  </si>
  <si>
    <t>SOPRAV. PASSIVE ORD.INDEDUCIBILI</t>
  </si>
  <si>
    <t>84/10/055</t>
  </si>
  <si>
    <t>MULTE E AMMENDE INDEDUCIBILI</t>
  </si>
  <si>
    <t>84/10/035</t>
  </si>
  <si>
    <t>IMPOSTE E TASSE</t>
  </si>
  <si>
    <t>84/05/000</t>
  </si>
  <si>
    <t>DIRITTI CAMERALI</t>
  </si>
  <si>
    <t>84/05/070</t>
  </si>
  <si>
    <t>IMPOSTA DI BOLLO</t>
  </si>
  <si>
    <t>84/05/005</t>
  </si>
  <si>
    <t>AMM.TO IMM. MAT. - ORDINARIO</t>
  </si>
  <si>
    <t>75/00/000</t>
  </si>
  <si>
    <t>COSTI PER IL PERSONALE</t>
  </si>
  <si>
    <t>COSTI P/GODIMENTO BENI DI TERZI</t>
  </si>
  <si>
    <t>COSTI PER SERVIZI</t>
  </si>
  <si>
    <t>68/00/000</t>
  </si>
  <si>
    <t>68/05/000</t>
  </si>
  <si>
    <t>LIC. D'USO SOFTWARE DI ESERCIZIO</t>
  </si>
  <si>
    <t>68/05/655</t>
  </si>
  <si>
    <t>CONSULENZA FISCALE DA IMPRESE</t>
  </si>
  <si>
    <t>68/05/586</t>
  </si>
  <si>
    <t>SPESE PRATICHE TELEMATICHE</t>
  </si>
  <si>
    <t>ONERI BANCARI</t>
  </si>
  <si>
    <t>68/05/370</t>
  </si>
  <si>
    <t>COSTI P/MAT.PRI,SUSS.,CON.E MER.</t>
  </si>
  <si>
    <t>66/00/000</t>
  </si>
  <si>
    <t>ALTRI ACQUISTI</t>
  </si>
  <si>
    <t>66/30/000</t>
  </si>
  <si>
    <t>SPESE ACCESSORIE SU ACQUISTI</t>
  </si>
  <si>
    <t>66/30/055</t>
  </si>
  <si>
    <t xml:space="preserve"> 94,621</t>
  </si>
  <si>
    <t xml:space="preserve">  8,230-</t>
  </si>
  <si>
    <t>ALTRI DEBITI</t>
  </si>
  <si>
    <t>52/00/000</t>
  </si>
  <si>
    <t>52/05/000</t>
  </si>
  <si>
    <t xml:space="preserve">  8,893</t>
  </si>
  <si>
    <t xml:space="preserve"> 39,251</t>
  </si>
  <si>
    <t xml:space="preserve">  3,316</t>
  </si>
  <si>
    <t xml:space="preserve">  6,861</t>
  </si>
  <si>
    <t>DEBITI TRIBUTARI</t>
  </si>
  <si>
    <t>48/00/000</t>
  </si>
  <si>
    <t>48/05/000</t>
  </si>
  <si>
    <t xml:space="preserve"> 10,289</t>
  </si>
  <si>
    <t xml:space="preserve">  5,078-</t>
  </si>
  <si>
    <t>ALTRI DEBITI V/FORNITORI</t>
  </si>
  <si>
    <t>41/00/000</t>
  </si>
  <si>
    <t>41/05/000</t>
  </si>
  <si>
    <t xml:space="preserve">  8,823-</t>
  </si>
  <si>
    <t>370,299</t>
  </si>
  <si>
    <t>128,611</t>
  </si>
  <si>
    <t>DEBITI V/FORNITORI</t>
  </si>
  <si>
    <t>40/00000</t>
  </si>
  <si>
    <t xml:space="preserve"> 63,120</t>
  </si>
  <si>
    <t xml:space="preserve">  6,382</t>
  </si>
  <si>
    <t xml:space="preserve"> 38,560-</t>
  </si>
  <si>
    <t>DEBITI V/ALTRI FINANZIATORI</t>
  </si>
  <si>
    <t>36/00/000</t>
  </si>
  <si>
    <t>36/05/000</t>
  </si>
  <si>
    <t>36/05/502</t>
  </si>
  <si>
    <t xml:space="preserve"> 18,211</t>
  </si>
  <si>
    <t xml:space="preserve">  9,959-</t>
  </si>
  <si>
    <t xml:space="preserve"> 26,347-</t>
  </si>
  <si>
    <t>PATRIMONIO NETTO</t>
  </si>
  <si>
    <t>28/00/000</t>
  </si>
  <si>
    <t xml:space="preserve"> 27,709-</t>
  </si>
  <si>
    <t>CAPITALE</t>
  </si>
  <si>
    <t>28/05/000</t>
  </si>
  <si>
    <t>CAPITALE SOCIALE</t>
  </si>
  <si>
    <t>28/05/005</t>
  </si>
  <si>
    <t>140,096</t>
  </si>
  <si>
    <t>DISPONIBILITA' LIQUIDE</t>
  </si>
  <si>
    <t>24/00/000</t>
  </si>
  <si>
    <t>DEPOSITI BANCARI E POSTALI</t>
  </si>
  <si>
    <t>24/05/000</t>
  </si>
  <si>
    <t>BANCHE C/COMP.ZE DA LIQUIDARE</t>
  </si>
  <si>
    <t>ALTRI CREDITI</t>
  </si>
  <si>
    <t>18/00/000</t>
  </si>
  <si>
    <t>CREDITI TRIBUTARI</t>
  </si>
  <si>
    <t>18/20/000</t>
  </si>
  <si>
    <t>RIMANENZE</t>
  </si>
  <si>
    <t>11/00/000</t>
  </si>
  <si>
    <t xml:space="preserve"> 17,242-</t>
  </si>
  <si>
    <t>F/AMM IMMOB. MATERIALI</t>
  </si>
  <si>
    <t>07/00/000</t>
  </si>
  <si>
    <t xml:space="preserve"> 17,468-</t>
  </si>
  <si>
    <t xml:space="preserve"> 24,360-</t>
  </si>
  <si>
    <t>F/AMM.IMPIANTI E MACCHINARIO</t>
  </si>
  <si>
    <t>07/10/000</t>
  </si>
  <si>
    <t xml:space="preserve"> 17,007-</t>
  </si>
  <si>
    <t xml:space="preserve"> 28,571-</t>
  </si>
  <si>
    <t>F/AMM FABBRICATI</t>
  </si>
  <si>
    <t>07/05/000</t>
  </si>
  <si>
    <t xml:space="preserve"> 10,787</t>
  </si>
  <si>
    <t xml:space="preserve">  9,977</t>
  </si>
  <si>
    <t>ERARIO C/IVA</t>
  </si>
  <si>
    <t>48/05/040</t>
  </si>
  <si>
    <t>116,224</t>
  </si>
  <si>
    <t xml:space="preserve">  4,913-</t>
  </si>
  <si>
    <t>743,702</t>
  </si>
  <si>
    <t>100,069</t>
  </si>
  <si>
    <t>DENARO E VALORI IN CASSA</t>
  </si>
  <si>
    <t>24/15/000</t>
  </si>
  <si>
    <t>DENARO IN CASSA</t>
  </si>
  <si>
    <t>24/15/005</t>
  </si>
  <si>
    <t>745,087</t>
  </si>
  <si>
    <t>795,378</t>
  </si>
  <si>
    <t xml:space="preserve"> 19,688-</t>
  </si>
  <si>
    <t xml:space="preserve"> 46,331</t>
  </si>
  <si>
    <t xml:space="preserve"> 24,031-</t>
  </si>
  <si>
    <t xml:space="preserve"> 21,768-</t>
  </si>
  <si>
    <t xml:space="preserve"> 24,048-</t>
  </si>
  <si>
    <t xml:space="preserve"> 30,795-</t>
  </si>
  <si>
    <t xml:space="preserve"> 20,693-</t>
  </si>
  <si>
    <t xml:space="preserve"> 24,705-</t>
  </si>
  <si>
    <t xml:space="preserve">  9,887</t>
  </si>
  <si>
    <t xml:space="preserve"> 46,809</t>
  </si>
  <si>
    <t xml:space="preserve">  2,726</t>
  </si>
  <si>
    <t xml:space="preserve"> 52,520-</t>
  </si>
  <si>
    <t xml:space="preserve"> 47,310-</t>
  </si>
  <si>
    <t xml:space="preserve"> 15,871</t>
  </si>
  <si>
    <t xml:space="preserve"> 34,381</t>
  </si>
  <si>
    <t xml:space="preserve">  3,746-</t>
  </si>
  <si>
    <t>ALTRI CREDITI V/CLIENTI</t>
  </si>
  <si>
    <t>15/00/000</t>
  </si>
  <si>
    <t>15/05/000</t>
  </si>
  <si>
    <t xml:space="preserve">  6,866-</t>
  </si>
  <si>
    <t xml:space="preserve"> 20,767-</t>
  </si>
  <si>
    <t>CREDITI V/CLIENTI</t>
  </si>
  <si>
    <t>14/00000</t>
  </si>
  <si>
    <t>687,927</t>
  </si>
  <si>
    <t xml:space="preserve">  9,471-</t>
  </si>
  <si>
    <t>IMMOBILIZZAZIONI MATERIALI</t>
  </si>
  <si>
    <t>06/00/000</t>
  </si>
  <si>
    <t xml:space="preserve">  4,591-</t>
  </si>
  <si>
    <t xml:space="preserve"> 35,300-</t>
  </si>
  <si>
    <t>IMPIANTI E MACCHINARIO</t>
  </si>
  <si>
    <t>06/10/000</t>
  </si>
  <si>
    <t xml:space="preserve"> 73,207-</t>
  </si>
  <si>
    <t>TERRENI E FABBRICATI</t>
  </si>
  <si>
    <t>06/05/000</t>
  </si>
  <si>
    <t>Perc2</t>
  </si>
  <si>
    <t>Perc1</t>
  </si>
  <si>
    <t>DareAvere2</t>
  </si>
  <si>
    <t>DareAvere1</t>
  </si>
  <si>
    <t>Descrizione conto</t>
  </si>
  <si>
    <t>CodiceConto</t>
  </si>
  <si>
    <t>Ragione sociale (anagrafica)</t>
  </si>
  <si>
    <t>Ditta</t>
  </si>
  <si>
    <t>IMPOSTE SUL REDDITO DELL'ESERC</t>
  </si>
  <si>
    <t>MARGINE DI CONTRIBUZIONE</t>
  </si>
  <si>
    <t>UTILE ANTE IMPOSTE</t>
  </si>
  <si>
    <t>CSV</t>
  </si>
  <si>
    <t>CGT</t>
  </si>
  <si>
    <t>CAV</t>
  </si>
  <si>
    <t>CPE</t>
  </si>
  <si>
    <t>AMM</t>
  </si>
  <si>
    <t>ODG</t>
  </si>
  <si>
    <t>RCV</t>
  </si>
  <si>
    <t>IMP</t>
  </si>
  <si>
    <t>INT</t>
  </si>
  <si>
    <t>OST</t>
  </si>
  <si>
    <t>ARP</t>
  </si>
  <si>
    <t>APF</t>
  </si>
  <si>
    <t>Variabili</t>
  </si>
  <si>
    <t>Fissi</t>
  </si>
  <si>
    <t>Ricavi</t>
  </si>
  <si>
    <t>Costi Acquisto Variabili</t>
  </si>
  <si>
    <t>Costi per Servizi</t>
  </si>
  <si>
    <t>Costi Godim beni Terzi</t>
  </si>
  <si>
    <t>Costo del Personale</t>
  </si>
  <si>
    <t>Ammortamenti</t>
  </si>
  <si>
    <t>Interessi</t>
  </si>
  <si>
    <t>Altri Ricavi e Proventi</t>
  </si>
  <si>
    <t>Altri Ricavi Finanziari</t>
  </si>
  <si>
    <t>M</t>
  </si>
  <si>
    <t>sM</t>
  </si>
  <si>
    <t>Ric</t>
  </si>
  <si>
    <t>Tax</t>
  </si>
  <si>
    <t>CVar</t>
  </si>
  <si>
    <t>CFix</t>
  </si>
  <si>
    <t>Oneri Straordinari</t>
  </si>
  <si>
    <t>BUDGET 2026</t>
  </si>
  <si>
    <t>COSTO DEL VENDUTO</t>
  </si>
  <si>
    <t>UTILE NETTO</t>
  </si>
  <si>
    <t>RIM_F</t>
  </si>
  <si>
    <t>Rim_I</t>
  </si>
  <si>
    <t>RIMANENZE FINALI</t>
  </si>
  <si>
    <t>RIMANENZE INIZIALI</t>
  </si>
  <si>
    <t>Rim_F</t>
  </si>
  <si>
    <t>AMMORTAMENTI</t>
  </si>
  <si>
    <t>SALDO RIMANENZE</t>
  </si>
  <si>
    <t>TOTALE COSTI ACQUISTO</t>
  </si>
  <si>
    <t>MEDIA</t>
  </si>
  <si>
    <t>2025</t>
  </si>
  <si>
    <t>Somma di 2023</t>
  </si>
  <si>
    <t>Somma di 2024</t>
  </si>
  <si>
    <t>Somma di 2025</t>
  </si>
  <si>
    <t>Cvar</t>
  </si>
  <si>
    <t>Cfix</t>
  </si>
  <si>
    <t>Oneri Diversi di Gestione</t>
  </si>
  <si>
    <t xml:space="preserve">RIM_I </t>
  </si>
  <si>
    <t/>
  </si>
  <si>
    <t>06/05/020</t>
  </si>
  <si>
    <t>COSTRUZIONI LEGGERE</t>
  </si>
  <si>
    <t>06/10/015</t>
  </si>
  <si>
    <t>MACCHINARI</t>
  </si>
  <si>
    <t>06/15/005</t>
  </si>
  <si>
    <t>ATTREZZAT. IND.LI E COMM.LI</t>
  </si>
  <si>
    <t>06/15/010</t>
  </si>
  <si>
    <t>ATTR.VARIE E MINUTE (&lt;516,46 E.)</t>
  </si>
  <si>
    <t>06/15/000</t>
  </si>
  <si>
    <t>ATTREZZATURE IND.LI E COMM.LI</t>
  </si>
  <si>
    <t>06/25/015</t>
  </si>
  <si>
    <t>AUTOCARRI/AUTOVETTURE</t>
  </si>
  <si>
    <t>06/25/000</t>
  </si>
  <si>
    <t>AUTOMEZZI (ALTRI BENI)</t>
  </si>
  <si>
    <t>15/05/501</t>
  </si>
  <si>
    <t>18/30/501</t>
  </si>
  <si>
    <t>18/30/502</t>
  </si>
  <si>
    <t>18/30/503</t>
  </si>
  <si>
    <t>18/30/504</t>
  </si>
  <si>
    <t>18/30/505</t>
  </si>
  <si>
    <t>18/30/000</t>
  </si>
  <si>
    <t>CREDITI V/SOCI</t>
  </si>
  <si>
    <t>07/05/020</t>
  </si>
  <si>
    <t>F/AMM.COSTRUZIONI LEGGERE</t>
  </si>
  <si>
    <t>07/10/015</t>
  </si>
  <si>
    <t>F/AMM.MACCHINARI</t>
  </si>
  <si>
    <t>07/15/005</t>
  </si>
  <si>
    <t>F/AMM.ATTREZ. IND.LI E COMM.LI</t>
  </si>
  <si>
    <t>07/15/010</t>
  </si>
  <si>
    <t>F/AMM.ATTR. VARIE E MINUTE</t>
  </si>
  <si>
    <t>07/15/000</t>
  </si>
  <si>
    <t>07/25/015</t>
  </si>
  <si>
    <t>F/AMM. AUTOCARRI/AUTOVETTURE</t>
  </si>
  <si>
    <t>07/25/000</t>
  </si>
  <si>
    <t>F/AMM. AUTOMEZZI (ALTRI BENI)</t>
  </si>
  <si>
    <t>18/30/005</t>
  </si>
  <si>
    <t>SOCI C/PRELEVAMENTI</t>
  </si>
  <si>
    <t>68/05/490</t>
  </si>
  <si>
    <t>ALTRI SERVIZI DEDUCIBILI</t>
  </si>
  <si>
    <t>80/00/000</t>
  </si>
  <si>
    <t>VAR.RIM.DI MAT.PR,SUS,CONS,MERCI</t>
  </si>
  <si>
    <t>88/20/010</t>
  </si>
  <si>
    <t>INT.PASS.SUI DEB.V/BAN.DI CR.ORD</t>
  </si>
  <si>
    <t>88/20/046</t>
  </si>
  <si>
    <t>INTERESSI PASSIVI INDEDUCIBILI</t>
  </si>
  <si>
    <t>88/20/501</t>
  </si>
  <si>
    <t>INTERESSI PASS X RATEIZZAZIONI</t>
  </si>
  <si>
    <t>95/00/000</t>
  </si>
  <si>
    <t>Cliccare col testo dx su una qualsiasi casella nella tabella e fare AGGIORNA per aggiornare alle ultime modifiche</t>
  </si>
  <si>
    <t>CONTI</t>
  </si>
  <si>
    <t>Proiez 2026 CONSUNTIVO</t>
  </si>
  <si>
    <t>Inserire il num di mesi aggiornati ---&gt;</t>
  </si>
  <si>
    <t>SEMPLIFICATA</t>
  </si>
  <si>
    <t>P.IVA 01049630419</t>
  </si>
  <si>
    <t>Rimanenze INIZ</t>
  </si>
  <si>
    <t>Rimanenze FIN</t>
  </si>
  <si>
    <t>Cliccare sull'icona "Filtro" a dx di "CONTI", selezionare in alto Campo "M" e riselezionare "Tutto", selezionare "sM" e riselezionare "Tutto"</t>
  </si>
  <si>
    <t>F.LLI BERTI SRL</t>
  </si>
  <si>
    <t>03/05/005</t>
  </si>
  <si>
    <t>COSTI DI IMPIANTO</t>
  </si>
  <si>
    <t>03/05/000</t>
  </si>
  <si>
    <t>COSTI DI IMPIANTO E AMPLIAMENTO</t>
  </si>
  <si>
    <t>03/00/000</t>
  </si>
  <si>
    <t>IMMOBILIZZAZIONI IMMATERIALI</t>
  </si>
  <si>
    <t>06/10/005</t>
  </si>
  <si>
    <t>IMPIANTI GENERICI</t>
  </si>
  <si>
    <t>09/15/501</t>
  </si>
  <si>
    <t>QUOTE SOCIALI FIDIMPRESA MARCH</t>
  </si>
  <si>
    <t>09/15/000</t>
  </si>
  <si>
    <t>ALTRI TITOLI</t>
  </si>
  <si>
    <t>09/00/000</t>
  </si>
  <si>
    <t>IMMOBILIZZAZIONI FINANZIARIE</t>
  </si>
  <si>
    <t>11/05/020</t>
  </si>
  <si>
    <t>MATERIALI VARI</t>
  </si>
  <si>
    <t>11/05/000</t>
  </si>
  <si>
    <t>MATERIE PRIME, SUSS.E DI CONSUMO</t>
  </si>
  <si>
    <t>11/15/005</t>
  </si>
  <si>
    <t>LAV.IN CORSO SU ORD. (&lt;12 MESI)</t>
  </si>
  <si>
    <t>11/15/000</t>
  </si>
  <si>
    <t>LAVORI IN CORSO SU ORDINAZIONE</t>
  </si>
  <si>
    <t>FATTURE DA EMETTERE 2014</t>
  </si>
  <si>
    <t>15/05/519</t>
  </si>
  <si>
    <t>RIBA SBF - BPER BANCA</t>
  </si>
  <si>
    <t>18/20/068</t>
  </si>
  <si>
    <t>ERARIO C/CR.IMP.INVES.BENI STRUM</t>
  </si>
  <si>
    <t>18/20/527</t>
  </si>
  <si>
    <t>RIMB.IRPEF DA 730</t>
  </si>
  <si>
    <t>18/20/534</t>
  </si>
  <si>
    <t>ERARIO C/ACCONTI IRAP</t>
  </si>
  <si>
    <t>18/20/540</t>
  </si>
  <si>
    <t>ERARIO C/RIT SUB 1039 A</t>
  </si>
  <si>
    <t>18/20/541</t>
  </si>
  <si>
    <t>ERARIO C/RIT.SU INT ATT. A</t>
  </si>
  <si>
    <t>18/20/554</t>
  </si>
  <si>
    <t>ERARIO C/RITENUTE SUBITE CREDITO</t>
  </si>
  <si>
    <t>18/20/561</t>
  </si>
  <si>
    <t>CRED.IMPOSTA ART.121 DL34/20 BON</t>
  </si>
  <si>
    <t>18/20/564</t>
  </si>
  <si>
    <t>18/25/030</t>
  </si>
  <si>
    <t>INAIL C/CONGUAGLIO</t>
  </si>
  <si>
    <t>18/25/000</t>
  </si>
  <si>
    <t>CREDITI V/ISTITUTI PREVIDENZIALI</t>
  </si>
  <si>
    <t>BERTI MARINO C/ACC.TO UTILI</t>
  </si>
  <si>
    <t>BERTI GIOVANNI C/ACC.TO UTILI</t>
  </si>
  <si>
    <t>CALDARI CRISTIN.C/ACC.TO UTILI</t>
  </si>
  <si>
    <t>BERTI ROBERTO C/ACC.TO UTILI</t>
  </si>
  <si>
    <t>FURIASSI ORIANA C/ACC.TO UTILI</t>
  </si>
  <si>
    <t>18/40/040</t>
  </si>
  <si>
    <t>NOTE CREDITO DA RICEVERE</t>
  </si>
  <si>
    <t>18/40/501</t>
  </si>
  <si>
    <t>ACCONTI A FORNITORI</t>
  </si>
  <si>
    <t>18/40/000</t>
  </si>
  <si>
    <t>CREDITI V/FORNITORI</t>
  </si>
  <si>
    <t>18/45/090</t>
  </si>
  <si>
    <t>CREDITI DIVERSI</t>
  </si>
  <si>
    <t>18/45/501</t>
  </si>
  <si>
    <t>CREDITI VS F.LLI BERTI SNC</t>
  </si>
  <si>
    <t>18/45/000</t>
  </si>
  <si>
    <t>CREDITI VARI</t>
  </si>
  <si>
    <t>24/05/505</t>
  </si>
  <si>
    <t>BPER BANCA C/C 6811 Bottega</t>
  </si>
  <si>
    <t>24/05/510</t>
  </si>
  <si>
    <t>26/10/005</t>
  </si>
  <si>
    <t>RISCONTI ATTIVI</t>
  </si>
  <si>
    <t>26/10/000</t>
  </si>
  <si>
    <t>26/00/000</t>
  </si>
  <si>
    <t>RATEI E RISCONTI ATTIVI</t>
  </si>
  <si>
    <t>48/05/015</t>
  </si>
  <si>
    <t>ERARIO C/IMPOSTA SOST. RIV. TFR</t>
  </si>
  <si>
    <t>04/05/005</t>
  </si>
  <si>
    <t>F/AMM.COSTI IMPIANTO</t>
  </si>
  <si>
    <t>04/05/000</t>
  </si>
  <si>
    <t>F/AMM COSTI DI IMPIANTO E AMPL.</t>
  </si>
  <si>
    <t>04/00/000</t>
  </si>
  <si>
    <t>F/AMM IMMOBILIZZAZIONI IMMAT.</t>
  </si>
  <si>
    <t>07/10/005</t>
  </si>
  <si>
    <t>F/AMM.IMPIANTI GENERICI</t>
  </si>
  <si>
    <t>18/20/535</t>
  </si>
  <si>
    <t>ERARIO C/IRAP</t>
  </si>
  <si>
    <t>24/05/506</t>
  </si>
  <si>
    <t>BPER BANCA C/C 6998 Bottega</t>
  </si>
  <si>
    <t>24/10/005</t>
  </si>
  <si>
    <t>ASSEGNI BANCARI</t>
  </si>
  <si>
    <t>24/10/000</t>
  </si>
  <si>
    <t>ASSEGNI</t>
  </si>
  <si>
    <t>28/20/501</t>
  </si>
  <si>
    <t>RISERVA LEGALE UTILI IN TRASP.</t>
  </si>
  <si>
    <t>28/20/000</t>
  </si>
  <si>
    <t>RISERVA LEGALE</t>
  </si>
  <si>
    <t>28/35/517</t>
  </si>
  <si>
    <t>RISERVA STRA.UTILI TASS.P/TRASP</t>
  </si>
  <si>
    <t>28/35/000</t>
  </si>
  <si>
    <t>ALTRE RISERVE</t>
  </si>
  <si>
    <t>31/05/005</t>
  </si>
  <si>
    <t>DEBITI P/T.F.R.</t>
  </si>
  <si>
    <t>31/05/000</t>
  </si>
  <si>
    <t>TFR LAVORO SUBORDINATO</t>
  </si>
  <si>
    <t>31/00/000</t>
  </si>
  <si>
    <t>34/05/501</t>
  </si>
  <si>
    <t>FIN.TO BPER N.204068 OLTRE</t>
  </si>
  <si>
    <t>34/05/502</t>
  </si>
  <si>
    <t>FINANZ. BPER N. 294943 60.000</t>
  </si>
  <si>
    <t>34/05/507</t>
  </si>
  <si>
    <t>FIN.TO UBI 25.000 COVID OLTRE 29</t>
  </si>
  <si>
    <t>34/05/508</t>
  </si>
  <si>
    <t>FIN.TO BPER N. 5414317 OLTRE</t>
  </si>
  <si>
    <t>34/05/525</t>
  </si>
  <si>
    <t>FINANZ.UBI 25.000 COVID N.1974 s</t>
  </si>
  <si>
    <t>34/05/527</t>
  </si>
  <si>
    <t>FIN.TO BPER NR 204068 scad 27.02</t>
  </si>
  <si>
    <t>34/05/553</t>
  </si>
  <si>
    <t>FIN.TO acq.Renault Traffic 26.2</t>
  </si>
  <si>
    <t>34/05/554</t>
  </si>
  <si>
    <t>FIN.TO 6654 BPER 11.000 sc 13.06</t>
  </si>
  <si>
    <t>34/05/555</t>
  </si>
  <si>
    <t>FINANZ.5522998 DEL 13 08 2025</t>
  </si>
  <si>
    <t>34/05/000</t>
  </si>
  <si>
    <t>DEBITI V/BANCHE</t>
  </si>
  <si>
    <t>34/00/000</t>
  </si>
  <si>
    <t>AMMINISTRATORI C/ANTICIPI</t>
  </si>
  <si>
    <t>38/05/005</t>
  </si>
  <si>
    <t>CLIENTI C/ANTICIPI</t>
  </si>
  <si>
    <t>38/05/505</t>
  </si>
  <si>
    <t>ACCONTI VIA LORENZETTI 15-TALACC</t>
  </si>
  <si>
    <t>38/05/000</t>
  </si>
  <si>
    <t>ACCONTI</t>
  </si>
  <si>
    <t>38/00/000</t>
  </si>
  <si>
    <t>41/05/005</t>
  </si>
  <si>
    <t>FATTURE DA RICEVERE</t>
  </si>
  <si>
    <t>41/05/501</t>
  </si>
  <si>
    <t>FT.DA RICEV. X AFF.RAMO AZIEND</t>
  </si>
  <si>
    <t>48/05/080</t>
  </si>
  <si>
    <t>ERARIO C/RIT. LAVORO DIPENDENTE</t>
  </si>
  <si>
    <t>48/05/105</t>
  </si>
  <si>
    <t>REGIONI C/RIT. ADDIZ. IRPEF</t>
  </si>
  <si>
    <t>48/05/110</t>
  </si>
  <si>
    <t>COMUNI C/RIT. ADDIZ. IRPEF</t>
  </si>
  <si>
    <t>50/05/005</t>
  </si>
  <si>
    <t>INPS C/CONTRIBUTI SOC. LAV. DIP.</t>
  </si>
  <si>
    <t>50/05/020</t>
  </si>
  <si>
    <t>INAIL C/CONTRIBUTI</t>
  </si>
  <si>
    <t>50/05/035</t>
  </si>
  <si>
    <t>CASSA EDILE C/CONTRIBUTI</t>
  </si>
  <si>
    <t>50/05/000</t>
  </si>
  <si>
    <t>DEBITI V/IST.PREV.E SICUR.SOC.</t>
  </si>
  <si>
    <t>50/00/000</t>
  </si>
  <si>
    <t>52/05/055</t>
  </si>
  <si>
    <t>DIPENDENTI C/RETRIBUZIONI</t>
  </si>
  <si>
    <t>54/05/005</t>
  </si>
  <si>
    <t>RATEI PASSIVI</t>
  </si>
  <si>
    <t>54/05/000</t>
  </si>
  <si>
    <t>54/10/005</t>
  </si>
  <si>
    <t>RISCONTI PASSIVI</t>
  </si>
  <si>
    <t>54/10/000</t>
  </si>
  <si>
    <t>54/00/000</t>
  </si>
  <si>
    <t>RATEI E RISCONTI PASSIVI</t>
  </si>
  <si>
    <t>61/05/005</t>
  </si>
  <si>
    <t>LAV.IN CORSO.C/E.I. &lt;12M.VAL.COS</t>
  </si>
  <si>
    <t>61/05/000</t>
  </si>
  <si>
    <t>VAR. DEI LAVORI IN CORSO SU ORD.</t>
  </si>
  <si>
    <t>61/00/000</t>
  </si>
  <si>
    <t>66/05/006</t>
  </si>
  <si>
    <t>MATERIE PRIME C/ACQ.P/PROD.SERV.</t>
  </si>
  <si>
    <t>66/05/000</t>
  </si>
  <si>
    <t>MATERIE PRIME</t>
  </si>
  <si>
    <t>66/10/005</t>
  </si>
  <si>
    <t>MATERIE SUSS. C/ACQUISTI</t>
  </si>
  <si>
    <t>66/10/000</t>
  </si>
  <si>
    <t>MATERIE SUSSIDIARIE</t>
  </si>
  <si>
    <t>66/20/005</t>
  </si>
  <si>
    <t>MATERIE DI CONSUMO C/ACQUISTI</t>
  </si>
  <si>
    <t>66/20/000</t>
  </si>
  <si>
    <t>MATERIE DI CONSUMO</t>
  </si>
  <si>
    <t>66/25/006</t>
  </si>
  <si>
    <t>MERCI C/ACQUISTI P/PROD.SERV.</t>
  </si>
  <si>
    <t>66/25/504</t>
  </si>
  <si>
    <t>ACQ. PRODOTTI FINITI</t>
  </si>
  <si>
    <t>66/25/000</t>
  </si>
  <si>
    <t>MERCI</t>
  </si>
  <si>
    <t>66/30/017</t>
  </si>
  <si>
    <t>PRODOTTI SANIF.E DISP.PROT.INDIV</t>
  </si>
  <si>
    <t>66/30/025</t>
  </si>
  <si>
    <t>CANCELLERIA</t>
  </si>
  <si>
    <t>66/30/035</t>
  </si>
  <si>
    <t>CARBURANTI E LUBRIFICANTI</t>
  </si>
  <si>
    <t>66/30/045</t>
  </si>
  <si>
    <t>INDUMENTI DI  LAVORO</t>
  </si>
  <si>
    <t>68/05/005</t>
  </si>
  <si>
    <t>TRASPORTI SU ACQUISTI</t>
  </si>
  <si>
    <t>68/05/021</t>
  </si>
  <si>
    <t>LAVORAZ.DI TERZI P/PROD.SERVIZI</t>
  </si>
  <si>
    <t>68/05/055</t>
  </si>
  <si>
    <t>MANUT.E RIPARAZ.BENI PROPRI 5%</t>
  </si>
  <si>
    <t>68/05/075</t>
  </si>
  <si>
    <t>MAN. E RIP. BENI DI TERZI</t>
  </si>
  <si>
    <t>68/05/095</t>
  </si>
  <si>
    <t>ALTRI ONERI P/AUTOMEZZI</t>
  </si>
  <si>
    <t>68/05/110</t>
  </si>
  <si>
    <t>ASSICURAZIONI R.C.A.</t>
  </si>
  <si>
    <t>68/05/125</t>
  </si>
  <si>
    <t>ASSICURAZ. NON OBBLIGATORIE</t>
  </si>
  <si>
    <t>68/05/340</t>
  </si>
  <si>
    <t>SPESE DI RAPPRESENTANZA DEDUCIB.</t>
  </si>
  <si>
    <t>68/05/341</t>
  </si>
  <si>
    <t>PASTI/SOGGIORNI-SPESE DI RAPPRES</t>
  </si>
  <si>
    <t>68/05/345</t>
  </si>
  <si>
    <t>PASTI E SOGGIORNI</t>
  </si>
  <si>
    <t>68/05/355</t>
  </si>
  <si>
    <t>RICERCA,ADDESTRAM.E FORMAZIONE</t>
  </si>
  <si>
    <t>68/05/365</t>
  </si>
  <si>
    <t>SERVIZIO SMALTIMENTO RIFIUTI</t>
  </si>
  <si>
    <t>68/05/405</t>
  </si>
  <si>
    <t>ALTRI COSTI P/PRODUZIONE SERVIZI</t>
  </si>
  <si>
    <t>68/05/407</t>
  </si>
  <si>
    <t>68/05/570</t>
  </si>
  <si>
    <t>CANONE INTERCONNESSIONE 4.0</t>
  </si>
  <si>
    <t>68/05/587</t>
  </si>
  <si>
    <t>CONSULENZA LAVORO DA IMPRESA</t>
  </si>
  <si>
    <t>68/05/589</t>
  </si>
  <si>
    <t>CONSULENZA TECNICA</t>
  </si>
  <si>
    <t>68/05/602</t>
  </si>
  <si>
    <t>COMM.NI-SPESE EROGAZ. MUTUI-FIN.</t>
  </si>
  <si>
    <t>68/05/607</t>
  </si>
  <si>
    <t>CONSULENZA AMBIEN.LE SIC.LAVORO</t>
  </si>
  <si>
    <t>68/05/636</t>
  </si>
  <si>
    <t>VALORI BOLLATI</t>
  </si>
  <si>
    <t>68/05/657</t>
  </si>
  <si>
    <t>ASSIC. AUTOMEZZI IN LEASING</t>
  </si>
  <si>
    <t>68/05/762</t>
  </si>
  <si>
    <t>CONSUL. FISCALE STRAORDINARIA</t>
  </si>
  <si>
    <t>70/05/100</t>
  </si>
  <si>
    <t>CANONI AFFITTO D'AZIENDA</t>
  </si>
  <si>
    <t>70/05/101</t>
  </si>
  <si>
    <t>NOLEGGIO DEDUCIBILE</t>
  </si>
  <si>
    <t>70/05/000</t>
  </si>
  <si>
    <t>AFFITTI E LOCAZIONI</t>
  </si>
  <si>
    <t>70/10/512</t>
  </si>
  <si>
    <t>CANONI LEASING SU OPEL COMBO</t>
  </si>
  <si>
    <t>70/10/000</t>
  </si>
  <si>
    <t>LEASING</t>
  </si>
  <si>
    <t>70/00/000</t>
  </si>
  <si>
    <t>72/05/502</t>
  </si>
  <si>
    <t>SALARI</t>
  </si>
  <si>
    <t>72/05/000</t>
  </si>
  <si>
    <t>SALARI E STIPENDI</t>
  </si>
  <si>
    <t>72/15/005</t>
  </si>
  <si>
    <t>ONERI SOCIALI INPS</t>
  </si>
  <si>
    <t>72/15/025</t>
  </si>
  <si>
    <t>ONERI SOCIALI INAIL</t>
  </si>
  <si>
    <t>72/15/050</t>
  </si>
  <si>
    <t>ONERI SOCIALI CASSA EDILE</t>
  </si>
  <si>
    <t>72/15/505</t>
  </si>
  <si>
    <t>ONERI CONTR. FONDO SANITARIO</t>
  </si>
  <si>
    <t>72/15/000</t>
  </si>
  <si>
    <t>ONERI SOCIALI</t>
  </si>
  <si>
    <t>72/20/005</t>
  </si>
  <si>
    <t>TFR</t>
  </si>
  <si>
    <t>72/20/000</t>
  </si>
  <si>
    <t>TRATTAMENTO FINE RAPPORTO</t>
  </si>
  <si>
    <t>72/25/010</t>
  </si>
  <si>
    <t>TRATT.PREV.INTEGR.TEMPO IND.</t>
  </si>
  <si>
    <t>72/25/000</t>
  </si>
  <si>
    <t>TRATTAMENTO DI QUIESC.E SIMILI</t>
  </si>
  <si>
    <t>72/00/000</t>
  </si>
  <si>
    <t>75/10/005</t>
  </si>
  <si>
    <t>AMM.TO ORD.IMP.GEN.</t>
  </si>
  <si>
    <t>75/10/015</t>
  </si>
  <si>
    <t>AMM.TO ORD. MACC.</t>
  </si>
  <si>
    <t>75/10/000</t>
  </si>
  <si>
    <t>AMM.TO IMPIANTI E MACCHINARIO</t>
  </si>
  <si>
    <t>75/25/015</t>
  </si>
  <si>
    <t>AMM.TO ORD.AUTOCARRI/AUTOVET.</t>
  </si>
  <si>
    <t>75/25/000</t>
  </si>
  <si>
    <t>AMM.TO AUTOMEZZI (ALTRI BENI)</t>
  </si>
  <si>
    <t>80/20/005</t>
  </si>
  <si>
    <t>MATERIALI VARI C/ESIST.INIZIALI</t>
  </si>
  <si>
    <t>80/20/000</t>
  </si>
  <si>
    <t>VARIAZ.RIMAN. DI MATERIALI VARI</t>
  </si>
  <si>
    <t>84/05/035</t>
  </si>
  <si>
    <t>TASSE DI CONCESSIONE GOVERNAT.</t>
  </si>
  <si>
    <t>84/05/040</t>
  </si>
  <si>
    <t>TASSE DI PROPRIETA' AUTOVEICOLI</t>
  </si>
  <si>
    <t>84/05/501</t>
  </si>
  <si>
    <t>DIRITTI DEPOSITO BILANCIO</t>
  </si>
  <si>
    <t>84/10/070</t>
  </si>
  <si>
    <t>OMAGGI A CLIENTI&gt;50 EURO</t>
  </si>
  <si>
    <t>84/10/090</t>
  </si>
  <si>
    <t>ABBUONI/ARROTONDAMENTI PASSIVI</t>
  </si>
  <si>
    <t>84/10/190</t>
  </si>
  <si>
    <t>ALTRI ONERI DI GEST. DEDUC.</t>
  </si>
  <si>
    <t>84/10/537</t>
  </si>
  <si>
    <t>ALTRI ONERI DI GEST. DEDUCIBILI</t>
  </si>
  <si>
    <t>88/20/015</t>
  </si>
  <si>
    <t>INTERESSI PASSIVI SU MUTUI</t>
  </si>
  <si>
    <t>88/20/020</t>
  </si>
  <si>
    <t>INT.PASS.SUI DEB. V/ALTRI FINAN.</t>
  </si>
  <si>
    <t>88/20/040</t>
  </si>
  <si>
    <t>SCONTI E ALTRI ONERI FINANZ.DED.</t>
  </si>
  <si>
    <t>95/15/005</t>
  </si>
  <si>
    <t>SOPR.PAS.ESTR.ALL'ATT.DED.</t>
  </si>
  <si>
    <t>95/15/000</t>
  </si>
  <si>
    <t>VARIE (ONERI STRAORDINARI)</t>
  </si>
  <si>
    <t>96/05/010</t>
  </si>
  <si>
    <t>IRAP DELL'ESERCIZIO</t>
  </si>
  <si>
    <t>58/05/205</t>
  </si>
  <si>
    <t>RIMB.SPESE RILEV. ST.DI SET./ISA</t>
  </si>
  <si>
    <t>58/05/000</t>
  </si>
  <si>
    <t>RICAVI DELLE VENDITE</t>
  </si>
  <si>
    <t>58/10/015</t>
  </si>
  <si>
    <t>LAVORAZIONI C/TERZI</t>
  </si>
  <si>
    <t>58/10/510</t>
  </si>
  <si>
    <t>LAV. VIA MONTEARGENT.22/24-PESAR</t>
  </si>
  <si>
    <t>58/10/511</t>
  </si>
  <si>
    <t>LAVORI VIA ZAMBONINI 40-42 MONTE</t>
  </si>
  <si>
    <t>58/10/512</t>
  </si>
  <si>
    <t>LAVORI VIA LORENZETTI, 13/15 TAL</t>
  </si>
  <si>
    <t>58/10/513</t>
  </si>
  <si>
    <t>LAVORI VIA MONTEARGENT. PESARO</t>
  </si>
  <si>
    <t>58/10/514</t>
  </si>
  <si>
    <t>LAVORI S2 SPA-FERMIGNANO via P.</t>
  </si>
  <si>
    <t>58/10/515</t>
  </si>
  <si>
    <t>LAVORI VIA SERRAdiGENGA-VALLEFOG</t>
  </si>
  <si>
    <t>58/10/516</t>
  </si>
  <si>
    <t>LAVORI Str.Provinciale 145/1-OST</t>
  </si>
  <si>
    <t>61/05/010</t>
  </si>
  <si>
    <t>LAV.IN CORSO C/R.F.&lt;12M.VAL.COS</t>
  </si>
  <si>
    <t>64/05/115</t>
  </si>
  <si>
    <t>SOPRAVVENIENZE ORDINARIE ATTIVE</t>
  </si>
  <si>
    <t>64/05/505</t>
  </si>
  <si>
    <t>ALTRI RICAVI E PROV VARI X</t>
  </si>
  <si>
    <t>64/05/511</t>
  </si>
  <si>
    <t>ABBUONI ATTIVI SERVIZI</t>
  </si>
  <si>
    <t>64/05/527</t>
  </si>
  <si>
    <t>ALTRI PROV. RISARCIMENTO ASSIC.</t>
  </si>
  <si>
    <t>64/05/531</t>
  </si>
  <si>
    <t>ALTRI PROVENTI PER BONUS EDILIZI</t>
  </si>
  <si>
    <t>64/15/030</t>
  </si>
  <si>
    <t>CONTR.C/IMP.INVEST.BENI STRUMENT</t>
  </si>
  <si>
    <t>64/15/000</t>
  </si>
  <si>
    <t>CONTRIBUTI IN CONTO CAPITALE</t>
  </si>
  <si>
    <t>80/20/010</t>
  </si>
  <si>
    <t>MATERIALI VARI C/RIM. FINALI</t>
  </si>
  <si>
    <t>2023</t>
  </si>
  <si>
    <t>2024</t>
  </si>
  <si>
    <t>DareAvere3</t>
  </si>
  <si>
    <t>***.000</t>
  </si>
  <si>
    <t xml:space="preserve"> 28,639</t>
  </si>
  <si>
    <t xml:space="preserve"> 28,909</t>
  </si>
  <si>
    <t xml:space="preserve"> 81,460-</t>
  </si>
  <si>
    <t xml:space="preserve"> 52,183</t>
  </si>
  <si>
    <t xml:space="preserve"> 69,611-</t>
  </si>
  <si>
    <t xml:space="preserve"> 48,210-</t>
  </si>
  <si>
    <t xml:space="preserve"> 79,710</t>
  </si>
  <si>
    <t xml:space="preserve">  1,607</t>
  </si>
  <si>
    <t xml:space="preserve">  9,056</t>
  </si>
  <si>
    <t xml:space="preserve"> 26,154-</t>
  </si>
  <si>
    <t xml:space="preserve">  2,623</t>
  </si>
  <si>
    <t xml:space="preserve"> 30,565</t>
  </si>
  <si>
    <t>299,419</t>
  </si>
  <si>
    <t xml:space="preserve"> 36,290-</t>
  </si>
  <si>
    <t xml:space="preserve"> 54,236</t>
  </si>
  <si>
    <t xml:space="preserve"> 92,996-</t>
  </si>
  <si>
    <t xml:space="preserve"> 87,023</t>
  </si>
  <si>
    <t xml:space="preserve"> 17,099-</t>
  </si>
  <si>
    <t xml:space="preserve"> 75,407-</t>
  </si>
  <si>
    <t xml:space="preserve"> 26,457-</t>
  </si>
  <si>
    <t xml:space="preserve"> 11,819</t>
  </si>
  <si>
    <t xml:space="preserve"> 23,016-</t>
  </si>
  <si>
    <t>709,160</t>
  </si>
  <si>
    <t xml:space="preserve"> 45,434-</t>
  </si>
  <si>
    <t xml:space="preserve">  3,911-</t>
  </si>
  <si>
    <t xml:space="preserve"> 10,715</t>
  </si>
  <si>
    <t xml:space="preserve"> 63,934</t>
  </si>
  <si>
    <t xml:space="preserve"> 23,643-</t>
  </si>
  <si>
    <t xml:space="preserve"> 21,486</t>
  </si>
  <si>
    <t xml:space="preserve"> 37,578-</t>
  </si>
  <si>
    <t>126,483</t>
  </si>
  <si>
    <t xml:space="preserve"> 16,989</t>
  </si>
  <si>
    <t xml:space="preserve"> 18,679</t>
  </si>
  <si>
    <t xml:space="preserve">  8,543-</t>
  </si>
  <si>
    <t xml:space="preserve">  2,245-</t>
  </si>
  <si>
    <t xml:space="preserve">  6,333-</t>
  </si>
  <si>
    <t xml:space="preserve">  7,369-</t>
  </si>
  <si>
    <t xml:space="preserve">  8,628-</t>
  </si>
  <si>
    <t xml:space="preserve">  4,358-</t>
  </si>
  <si>
    <t xml:space="preserve">  8,054-</t>
  </si>
  <si>
    <t xml:space="preserve">  8,387-</t>
  </si>
  <si>
    <t xml:space="preserve">  7,086-</t>
  </si>
  <si>
    <t xml:space="preserve"> 93,825-</t>
  </si>
  <si>
    <t xml:space="preserve"> 23,851-</t>
  </si>
  <si>
    <t xml:space="preserve"> 50,803-</t>
  </si>
  <si>
    <t xml:space="preserve"> 47,821-</t>
  </si>
  <si>
    <t xml:space="preserve">  7,382</t>
  </si>
  <si>
    <t xml:space="preserve"> 30,220-</t>
  </si>
  <si>
    <t>416,252</t>
  </si>
  <si>
    <t xml:space="preserve"> 12,315</t>
  </si>
  <si>
    <t xml:space="preserve"> 38,850</t>
  </si>
  <si>
    <t xml:space="preserve"> 74,938-</t>
  </si>
  <si>
    <t xml:space="preserve"> 54,653</t>
  </si>
  <si>
    <t xml:space="preserve"> 83,556-</t>
  </si>
  <si>
    <t xml:space="preserve"> 45,237</t>
  </si>
  <si>
    <t xml:space="preserve"> 44,910</t>
  </si>
  <si>
    <t xml:space="preserve"> 12,949</t>
  </si>
  <si>
    <t xml:space="preserve"> 11,654-</t>
  </si>
  <si>
    <t xml:space="preserve"> 17,040-</t>
  </si>
  <si>
    <t xml:space="preserve"> 35,037-</t>
  </si>
  <si>
    <t xml:space="preserve"> 40,614-</t>
  </si>
  <si>
    <t xml:space="preserve"> 40,210-</t>
  </si>
  <si>
    <t xml:space="preserve"> 84,950-</t>
  </si>
  <si>
    <t>233,485</t>
  </si>
  <si>
    <t xml:space="preserve"> 75,642-</t>
  </si>
  <si>
    <t xml:space="preserve"> 48,747-</t>
  </si>
  <si>
    <t xml:space="preserve"> 65,963-</t>
  </si>
  <si>
    <t xml:space="preserve"> 52,528-</t>
  </si>
  <si>
    <t>RIM</t>
  </si>
  <si>
    <t>CPB : NO  XXXX€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</si>
</sst>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\ _€_-;\-* #,##0.00\ _€_-;_-* &quot;-&quot;??\ _€_-;_-@_-"/>
    <numFmt numFmtId="164" formatCode="#,##0.00\ _€"/>
    <numFmt numFmtId="165" formatCode="#,##0.000"/>
    <numFmt numFmtId="166" formatCode="_-* #,##0\ _€_-;\-* #,##0\ _€_-;_-* &quot;-&quot;??\ _€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Aptos Display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Aptos Display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Aptos Display"/>
      <family val="2"/>
    </font>
    <font>
      <i/>
      <sz val="8"/>
      <color rgb="FFFF0000"/>
      <name val="Aptos Display"/>
      <family val="2"/>
    </font>
    <font>
      <sz val="11"/>
      <color rgb="FFFF0000"/>
      <name val="Aptos Display"/>
      <family val="2"/>
    </font>
    <font>
      <b/>
      <i/>
      <sz val="11"/>
      <color rgb="FFFF0000"/>
      <name val="Calibri"/>
      <family val="2"/>
      <scheme val="minor"/>
    </font>
    <font>
      <b/>
      <sz val="9"/>
      <color rgb="FFFF0000"/>
      <name val="Aptos Display"/>
      <family val="2"/>
    </font>
    <font>
      <i/>
      <sz val="9"/>
      <color theme="1"/>
      <name val="Aptos Display"/>
      <family val="2"/>
    </font>
    <font>
      <b/>
      <sz val="10"/>
      <color theme="0"/>
      <name val="Calibri"/>
      <family val="2"/>
      <scheme val="minor"/>
    </font>
    <font>
      <i/>
      <sz val="8"/>
      <color theme="1"/>
      <name val="Aptos Display"/>
      <family val="2"/>
    </font>
    <font>
      <b/>
      <sz val="11"/>
      <color theme="0"/>
      <name val="Calibri"/>
      <family val="2"/>
      <scheme val="minor"/>
    </font>
    <font>
      <b/>
      <i/>
      <sz val="10"/>
      <color theme="1"/>
      <name val="Aptos Display"/>
      <family val="2"/>
    </font>
  </fonts>
  <fills count="1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43" fontId="2" fillId="0" borderId="0" xfId="0" applyNumberFormat="1" applyFont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4" fontId="0" fillId="0" borderId="5" xfId="0" applyNumberFormat="1" applyBorder="1" applyAlignment="1">
      <alignment horizontal="right"/>
    </xf>
    <xf numFmtId="0" fontId="0" fillId="0" borderId="3" xfId="0" applyBorder="1" applyAlignment="1">
      <alignment horizontal="right" vertical="center"/>
    </xf>
    <xf numFmtId="164" fontId="10" fillId="0" borderId="11" xfId="0" applyNumberFormat="1" applyFont="1" applyBorder="1" applyAlignment="1">
      <alignment horizontal="right"/>
    </xf>
    <xf numFmtId="0" fontId="0" fillId="0" borderId="6" xfId="0" applyBorder="1"/>
    <xf numFmtId="43" fontId="0" fillId="0" borderId="0" xfId="2" applyFont="1" applyBorder="1" applyAlignment="1">
      <alignment horizontal="right"/>
    </xf>
    <xf numFmtId="0" fontId="0" fillId="0" borderId="7" xfId="0" applyBorder="1" applyAlignment="1">
      <alignment horizontal="right" vertical="center"/>
    </xf>
    <xf numFmtId="166" fontId="10" fillId="0" borderId="12" xfId="2" applyNumberFormat="1" applyFont="1" applyBorder="1" applyAlignment="1">
      <alignment horizontal="right"/>
    </xf>
    <xf numFmtId="166" fontId="0" fillId="0" borderId="12" xfId="2" applyNumberFormat="1" applyFont="1" applyBorder="1" applyAlignment="1">
      <alignment horizontal="right"/>
    </xf>
    <xf numFmtId="0" fontId="0" fillId="0" borderId="9" xfId="0" applyBorder="1"/>
    <xf numFmtId="43" fontId="0" fillId="0" borderId="4" xfId="2" applyFont="1" applyBorder="1" applyAlignment="1">
      <alignment horizontal="right"/>
    </xf>
    <xf numFmtId="0" fontId="0" fillId="0" borderId="10" xfId="0" applyBorder="1" applyAlignment="1">
      <alignment horizontal="right" vertical="center"/>
    </xf>
    <xf numFmtId="166" fontId="0" fillId="0" borderId="15" xfId="2" applyNumberFormat="1" applyFont="1" applyBorder="1" applyAlignment="1">
      <alignment horizontal="right"/>
    </xf>
    <xf numFmtId="166" fontId="0" fillId="0" borderId="17" xfId="2" applyNumberFormat="1" applyFont="1" applyBorder="1" applyAlignment="1">
      <alignment horizontal="right"/>
    </xf>
    <xf numFmtId="0" fontId="4" fillId="7" borderId="1" xfId="0" applyFont="1" applyFill="1" applyBorder="1" applyAlignment="1">
      <alignment horizontal="center" vertical="center"/>
    </xf>
    <xf numFmtId="43" fontId="4" fillId="7" borderId="1" xfId="2" applyFont="1" applyFill="1" applyBorder="1" applyAlignment="1">
      <alignment horizontal="right"/>
    </xf>
    <xf numFmtId="9" fontId="4" fillId="7" borderId="1" xfId="1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/>
    </xf>
    <xf numFmtId="166" fontId="9" fillId="7" borderId="1" xfId="2" applyNumberFormat="1" applyFont="1" applyFill="1" applyBorder="1" applyAlignment="1">
      <alignment horizontal="right"/>
    </xf>
    <xf numFmtId="166" fontId="4" fillId="7" borderId="1" xfId="2" applyNumberFormat="1" applyFont="1" applyFill="1" applyBorder="1" applyAlignment="1">
      <alignment horizontal="right"/>
    </xf>
    <xf numFmtId="166" fontId="4" fillId="7" borderId="13" xfId="2" applyNumberFormat="1" applyFont="1" applyFill="1" applyBorder="1" applyAlignment="1">
      <alignment horizontal="right"/>
    </xf>
    <xf numFmtId="166" fontId="4" fillId="7" borderId="18" xfId="2" applyNumberFormat="1" applyFont="1" applyFill="1" applyBorder="1" applyAlignment="1">
      <alignment horizontal="right"/>
    </xf>
    <xf numFmtId="43" fontId="0" fillId="0" borderId="0" xfId="2" applyFont="1" applyAlignment="1">
      <alignment horizontal="right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43" fontId="0" fillId="0" borderId="5" xfId="2" applyFont="1" applyBorder="1" applyAlignment="1">
      <alignment horizontal="right"/>
    </xf>
    <xf numFmtId="166" fontId="10" fillId="0" borderId="11" xfId="2" applyNumberFormat="1" applyFont="1" applyBorder="1" applyAlignment="1">
      <alignment horizontal="right"/>
    </xf>
    <xf numFmtId="166" fontId="0" fillId="0" borderId="11" xfId="2" applyNumberFormat="1" applyFont="1" applyBorder="1" applyAlignment="1">
      <alignment horizontal="right"/>
    </xf>
    <xf numFmtId="166" fontId="0" fillId="0" borderId="16" xfId="2" applyNumberFormat="1" applyFont="1" applyBorder="1" applyAlignment="1">
      <alignment horizontal="right"/>
    </xf>
    <xf numFmtId="9" fontId="10" fillId="0" borderId="7" xfId="1" applyFont="1" applyFill="1" applyBorder="1" applyAlignment="1">
      <alignment horizontal="center" vertical="center"/>
    </xf>
    <xf numFmtId="9" fontId="10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43" fontId="4" fillId="4" borderId="1" xfId="2" applyFont="1" applyFill="1" applyBorder="1" applyAlignment="1">
      <alignment horizontal="right"/>
    </xf>
    <xf numFmtId="9" fontId="4" fillId="4" borderId="1" xfId="1" applyFont="1" applyFill="1" applyBorder="1" applyAlignment="1">
      <alignment horizontal="center" vertical="center"/>
    </xf>
    <xf numFmtId="166" fontId="9" fillId="4" borderId="1" xfId="2" applyNumberFormat="1" applyFont="1" applyFill="1" applyBorder="1" applyAlignment="1">
      <alignment horizontal="right"/>
    </xf>
    <xf numFmtId="166" fontId="4" fillId="4" borderId="1" xfId="2" applyNumberFormat="1" applyFont="1" applyFill="1" applyBorder="1" applyAlignment="1">
      <alignment horizontal="right"/>
    </xf>
    <xf numFmtId="166" fontId="4" fillId="4" borderId="18" xfId="2" applyNumberFormat="1" applyFont="1" applyFill="1" applyBorder="1" applyAlignment="1">
      <alignment horizontal="right"/>
    </xf>
    <xf numFmtId="10" fontId="0" fillId="0" borderId="7" xfId="1" applyNumberFormat="1" applyFont="1" applyFill="1" applyBorder="1" applyAlignment="1">
      <alignment horizontal="right" vertical="center"/>
    </xf>
    <xf numFmtId="0" fontId="10" fillId="0" borderId="6" xfId="0" applyFont="1" applyBorder="1"/>
    <xf numFmtId="0" fontId="4" fillId="2" borderId="1" xfId="0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right"/>
    </xf>
    <xf numFmtId="9" fontId="4" fillId="2" borderId="1" xfId="1" applyFont="1" applyFill="1" applyBorder="1" applyAlignment="1">
      <alignment horizontal="center" vertical="center"/>
    </xf>
    <xf numFmtId="166" fontId="9" fillId="2" borderId="1" xfId="2" applyNumberFormat="1" applyFont="1" applyFill="1" applyBorder="1" applyAlignment="1">
      <alignment horizontal="right"/>
    </xf>
    <xf numFmtId="166" fontId="4" fillId="2" borderId="1" xfId="2" applyNumberFormat="1" applyFont="1" applyFill="1" applyBorder="1" applyAlignment="1">
      <alignment horizontal="right"/>
    </xf>
    <xf numFmtId="166" fontId="4" fillId="2" borderId="18" xfId="2" applyNumberFormat="1" applyFont="1" applyFill="1" applyBorder="1" applyAlignment="1">
      <alignment horizontal="right"/>
    </xf>
    <xf numFmtId="10" fontId="0" fillId="0" borderId="10" xfId="1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43" fontId="4" fillId="5" borderId="1" xfId="2" applyFont="1" applyFill="1" applyBorder="1" applyAlignment="1">
      <alignment horizontal="right"/>
    </xf>
    <xf numFmtId="9" fontId="4" fillId="5" borderId="1" xfId="1" applyFont="1" applyFill="1" applyBorder="1" applyAlignment="1">
      <alignment horizontal="center" vertical="center"/>
    </xf>
    <xf numFmtId="166" fontId="9" fillId="5" borderId="1" xfId="2" applyNumberFormat="1" applyFont="1" applyFill="1" applyBorder="1" applyAlignment="1">
      <alignment horizontal="right"/>
    </xf>
    <xf numFmtId="166" fontId="4" fillId="5" borderId="1" xfId="2" applyNumberFormat="1" applyFont="1" applyFill="1" applyBorder="1" applyAlignment="1">
      <alignment horizontal="right"/>
    </xf>
    <xf numFmtId="166" fontId="4" fillId="5" borderId="18" xfId="2" applyNumberFormat="1" applyFont="1" applyFill="1" applyBorder="1" applyAlignment="1">
      <alignment horizontal="right"/>
    </xf>
    <xf numFmtId="0" fontId="4" fillId="0" borderId="6" xfId="0" applyFont="1" applyBorder="1" applyAlignment="1">
      <alignment horizontal="center" vertical="center"/>
    </xf>
    <xf numFmtId="43" fontId="4" fillId="0" borderId="0" xfId="2" applyFont="1" applyAlignment="1">
      <alignment horizontal="right"/>
    </xf>
    <xf numFmtId="166" fontId="9" fillId="0" borderId="12" xfId="2" applyNumberFormat="1" applyFont="1" applyBorder="1" applyAlignment="1">
      <alignment horizontal="right"/>
    </xf>
    <xf numFmtId="166" fontId="4" fillId="0" borderId="12" xfId="2" applyNumberFormat="1" applyFont="1" applyBorder="1" applyAlignment="1">
      <alignment horizontal="right"/>
    </xf>
    <xf numFmtId="166" fontId="4" fillId="0" borderId="17" xfId="2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 vertical="center"/>
    </xf>
    <xf numFmtId="43" fontId="4" fillId="3" borderId="1" xfId="2" applyFont="1" applyFill="1" applyBorder="1" applyAlignment="1">
      <alignment horizontal="right"/>
    </xf>
    <xf numFmtId="9" fontId="4" fillId="3" borderId="1" xfId="1" applyFont="1" applyFill="1" applyBorder="1" applyAlignment="1">
      <alignment horizontal="center" vertical="center"/>
    </xf>
    <xf numFmtId="166" fontId="9" fillId="3" borderId="1" xfId="2" applyNumberFormat="1" applyFont="1" applyFill="1" applyBorder="1" applyAlignment="1">
      <alignment horizontal="right"/>
    </xf>
    <xf numFmtId="166" fontId="4" fillId="3" borderId="1" xfId="2" applyNumberFormat="1" applyFont="1" applyFill="1" applyBorder="1" applyAlignment="1">
      <alignment horizontal="right"/>
    </xf>
    <xf numFmtId="166" fontId="4" fillId="3" borderId="13" xfId="2" applyNumberFormat="1" applyFont="1" applyFill="1" applyBorder="1" applyAlignment="1">
      <alignment horizontal="right"/>
    </xf>
    <xf numFmtId="166" fontId="4" fillId="3" borderId="18" xfId="2" applyNumberFormat="1" applyFont="1" applyFill="1" applyBorder="1" applyAlignment="1">
      <alignment horizontal="right"/>
    </xf>
    <xf numFmtId="9" fontId="10" fillId="0" borderId="7" xfId="1" applyFont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2" xfId="0" applyBorder="1"/>
    <xf numFmtId="43" fontId="0" fillId="0" borderId="4" xfId="2" applyFont="1" applyBorder="1"/>
    <xf numFmtId="166" fontId="10" fillId="0" borderId="8" xfId="2" applyNumberFormat="1" applyFont="1" applyBorder="1"/>
    <xf numFmtId="166" fontId="0" fillId="0" borderId="8" xfId="2" applyNumberFormat="1" applyFont="1" applyBorder="1"/>
    <xf numFmtId="166" fontId="0" fillId="0" borderId="19" xfId="2" applyNumberFormat="1" applyFont="1" applyBorder="1"/>
    <xf numFmtId="0" fontId="4" fillId="5" borderId="8" xfId="0" applyFont="1" applyFill="1" applyBorder="1" applyAlignment="1">
      <alignment horizontal="center" vertical="center"/>
    </xf>
    <xf numFmtId="43" fontId="4" fillId="5" borderId="8" xfId="2" applyFont="1" applyFill="1" applyBorder="1" applyAlignment="1">
      <alignment horizontal="right"/>
    </xf>
    <xf numFmtId="9" fontId="4" fillId="5" borderId="8" xfId="1" applyFont="1" applyFill="1" applyBorder="1" applyAlignment="1">
      <alignment horizontal="center" vertical="center"/>
    </xf>
    <xf numFmtId="166" fontId="9" fillId="5" borderId="8" xfId="2" applyNumberFormat="1" applyFont="1" applyFill="1" applyBorder="1" applyAlignment="1">
      <alignment horizontal="right"/>
    </xf>
    <xf numFmtId="166" fontId="4" fillId="5" borderId="8" xfId="2" applyNumberFormat="1" applyFont="1" applyFill="1" applyBorder="1" applyAlignment="1">
      <alignment horizontal="right"/>
    </xf>
    <xf numFmtId="166" fontId="4" fillId="5" borderId="19" xfId="2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vertical="center"/>
    </xf>
    <xf numFmtId="43" fontId="4" fillId="6" borderId="1" xfId="2" applyFont="1" applyFill="1" applyBorder="1" applyAlignment="1">
      <alignment horizontal="right"/>
    </xf>
    <xf numFmtId="9" fontId="4" fillId="6" borderId="1" xfId="1" applyFont="1" applyFill="1" applyBorder="1" applyAlignment="1">
      <alignment horizontal="center" vertical="center"/>
    </xf>
    <xf numFmtId="166" fontId="9" fillId="6" borderId="1" xfId="2" applyNumberFormat="1" applyFont="1" applyFill="1" applyBorder="1" applyAlignment="1">
      <alignment horizontal="right"/>
    </xf>
    <xf numFmtId="166" fontId="4" fillId="6" borderId="1" xfId="2" applyNumberFormat="1" applyFont="1" applyFill="1" applyBorder="1" applyAlignment="1">
      <alignment horizontal="right"/>
    </xf>
    <xf numFmtId="166" fontId="4" fillId="6" borderId="18" xfId="2" applyNumberFormat="1" applyFont="1" applyFill="1" applyBorder="1" applyAlignment="1">
      <alignment horizontal="right"/>
    </xf>
    <xf numFmtId="9" fontId="0" fillId="0" borderId="7" xfId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/>
    </xf>
    <xf numFmtId="14" fontId="4" fillId="11" borderId="14" xfId="0" applyNumberFormat="1" applyFont="1" applyFill="1" applyBorder="1" applyAlignment="1">
      <alignment horizontal="center"/>
    </xf>
    <xf numFmtId="0" fontId="10" fillId="0" borderId="0" xfId="0" applyFont="1"/>
    <xf numFmtId="9" fontId="9" fillId="0" borderId="0" xfId="0" applyNumberFormat="1" applyFont="1" applyAlignment="1">
      <alignment horizontal="center"/>
    </xf>
    <xf numFmtId="166" fontId="10" fillId="0" borderId="0" xfId="0" applyNumberFormat="1" applyFont="1"/>
    <xf numFmtId="166" fontId="0" fillId="0" borderId="0" xfId="0" applyNumberFormat="1"/>
    <xf numFmtId="166" fontId="10" fillId="0" borderId="0" xfId="2" applyNumberFormat="1" applyFont="1" applyBorder="1" applyAlignment="1">
      <alignment horizontal="right"/>
    </xf>
    <xf numFmtId="166" fontId="0" fillId="0" borderId="0" xfId="2" applyNumberFormat="1" applyFont="1" applyBorder="1" applyAlignment="1">
      <alignment horizontal="right"/>
    </xf>
    <xf numFmtId="49" fontId="7" fillId="9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/>
    <xf numFmtId="0" fontId="12" fillId="12" borderId="0" xfId="0" applyFont="1" applyFill="1" applyAlignment="1">
      <alignment horizontal="center"/>
    </xf>
    <xf numFmtId="0" fontId="14" fillId="0" borderId="0" xfId="0" applyFont="1"/>
    <xf numFmtId="0" fontId="15" fillId="8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1" fontId="0" fillId="0" borderId="20" xfId="0" applyNumberFormat="1" applyBorder="1" applyAlignment="1">
      <alignment horizontal="right"/>
    </xf>
    <xf numFmtId="49" fontId="0" fillId="0" borderId="20" xfId="0" applyNumberFormat="1" applyBorder="1" applyAlignment="1">
      <alignment horizontal="left"/>
    </xf>
    <xf numFmtId="4" fontId="0" fillId="0" borderId="20" xfId="0" applyNumberFormat="1" applyBorder="1" applyAlignment="1">
      <alignment horizontal="right"/>
    </xf>
    <xf numFmtId="0" fontId="4" fillId="0" borderId="0" xfId="0" applyFont="1"/>
    <xf numFmtId="166" fontId="0" fillId="0" borderId="6" xfId="2" applyNumberFormat="1" applyFont="1" applyBorder="1" applyAlignment="1">
      <alignment horizontal="right"/>
    </xf>
    <xf numFmtId="166" fontId="0" fillId="0" borderId="19" xfId="2" applyNumberFormat="1" applyFon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0" fillId="0" borderId="16" xfId="0" applyBorder="1" applyAlignment="1">
      <alignment horizontal="right" vertical="center"/>
    </xf>
    <xf numFmtId="166" fontId="0" fillId="8" borderId="17" xfId="2" applyNumberFormat="1" applyFont="1" applyFill="1" applyBorder="1" applyAlignment="1">
      <alignment horizontal="right"/>
    </xf>
    <xf numFmtId="0" fontId="17" fillId="9" borderId="11" xfId="0" applyFont="1" applyFill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166" fontId="0" fillId="0" borderId="14" xfId="2" applyNumberFormat="1" applyFont="1" applyBorder="1" applyAlignment="1">
      <alignment horizontal="right"/>
    </xf>
    <xf numFmtId="166" fontId="4" fillId="4" borderId="13" xfId="2" applyNumberFormat="1" applyFont="1" applyFill="1" applyBorder="1" applyAlignment="1">
      <alignment horizontal="right"/>
    </xf>
    <xf numFmtId="166" fontId="4" fillId="2" borderId="13" xfId="2" applyNumberFormat="1" applyFont="1" applyFill="1" applyBorder="1" applyAlignment="1">
      <alignment horizontal="right"/>
    </xf>
    <xf numFmtId="166" fontId="4" fillId="5" borderId="13" xfId="2" applyNumberFormat="1" applyFont="1" applyFill="1" applyBorder="1" applyAlignment="1">
      <alignment horizontal="right"/>
    </xf>
    <xf numFmtId="166" fontId="4" fillId="0" borderId="15" xfId="2" applyNumberFormat="1" applyFont="1" applyBorder="1" applyAlignment="1">
      <alignment horizontal="right"/>
    </xf>
    <xf numFmtId="166" fontId="0" fillId="0" borderId="21" xfId="2" applyNumberFormat="1" applyFont="1" applyBorder="1"/>
    <xf numFmtId="166" fontId="4" fillId="5" borderId="21" xfId="2" applyNumberFormat="1" applyFont="1" applyFill="1" applyBorder="1" applyAlignment="1">
      <alignment horizontal="right"/>
    </xf>
    <xf numFmtId="166" fontId="4" fillId="6" borderId="13" xfId="2" applyNumberFormat="1" applyFont="1" applyFill="1" applyBorder="1" applyAlignment="1">
      <alignment horizontal="right"/>
    </xf>
    <xf numFmtId="14" fontId="19" fillId="13" borderId="14" xfId="0" applyNumberFormat="1" applyFont="1" applyFill="1" applyBorder="1" applyAlignment="1">
      <alignment horizontal="center"/>
    </xf>
    <xf numFmtId="14" fontId="19" fillId="13" borderId="16" xfId="0" applyNumberFormat="1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/>
    </xf>
    <xf numFmtId="0" fontId="5" fillId="11" borderId="8" xfId="0" quotePrefix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49" fontId="9" fillId="0" borderId="0" xfId="0" applyNumberFormat="1" applyFont="1" applyAlignment="1">
      <alignment horizontal="left"/>
    </xf>
    <xf numFmtId="49" fontId="0" fillId="0" borderId="0" xfId="0" applyNumberFormat="1" applyBorder="1" applyAlignment="1">
      <alignment horizontal="left"/>
    </xf>
    <xf numFmtId="4" fontId="0" fillId="0" borderId="0" xfId="0" applyNumberFormat="1" applyBorder="1" applyAlignment="1">
      <alignment horizontal="right"/>
    </xf>
    <xf numFmtId="49" fontId="0" fillId="0" borderId="0" xfId="0" applyNumberFormat="1" applyFont="1" applyAlignment="1">
      <alignment horizontal="left"/>
    </xf>
    <xf numFmtId="1" fontId="0" fillId="0" borderId="0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165" fontId="0" fillId="0" borderId="20" xfId="0" applyNumberFormat="1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4" fillId="8" borderId="0" xfId="0" applyFont="1" applyFill="1" applyAlignment="1">
      <alignment horizontal="center"/>
    </xf>
  </cellXfs>
  <cellStyles count="3">
    <cellStyle name="Migliaia" xfId="2" builtinId="3"/>
    <cellStyle name="Normale" xfId="0" builtinId="0"/>
    <cellStyle name="Percentuale" xfId="1" builtinId="5"/>
  </cellStyles>
  <dxfs count="1">
    <dxf>
      <numFmt numFmtId="35" formatCode="_-* #,##0.00\ _€_-;\-* #,##0.00\ _€_-;_-* &quot;-&quot;??\ _€_-;_-@_-"/>
    </dxf>
  </dxfs>
  <tableStyles count="0" defaultTableStyle="TableStyleMedium2" defaultPivotStyle="PivotStyleLight16"/>
  <colors>
    <mruColors>
      <color rgb="FFCCFF99"/>
      <color rgb="FFFFFF99"/>
      <color rgb="FFFFCC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 Valentini" refreshedDate="46059.637513773145" createdVersion="8" refreshedVersion="6" minRefreshableVersion="3" recordCount="281" xr:uid="{A298D077-867E-4DEE-9AC7-BDD3290F8ABA}">
  <cacheSource type="worksheet">
    <worksheetSource ref="B1:N1000" sheet="EXP_comp"/>
  </cacheSource>
  <cacheFields count="13">
    <cacheField name="Ragione sociale (anagrafica)" numFmtId="0">
      <sharedItems containsBlank="1"/>
    </cacheField>
    <cacheField name="CodiceConto" numFmtId="0">
      <sharedItems containsBlank="1"/>
    </cacheField>
    <cacheField name="Descrizione conto" numFmtId="0">
      <sharedItems containsBlank="1" count="297">
        <s v="COSTI DI IMPIANTO"/>
        <s v="COSTI DI IMPIANTO E AMPLIAMENTO"/>
        <s v="IMMOBILIZZAZIONI IMMATERIALI"/>
        <s v="COSTRUZIONI LEGGERE"/>
        <s v="TERRENI E FABBRICATI"/>
        <s v="IMPIANTI GENERICI"/>
        <s v="MACCHINARI"/>
        <s v="IMPIANTI E MACCHINARIO"/>
        <s v="ATTREZZAT. IND.LI E COMM.LI"/>
        <s v="ATTR.VARIE E MINUTE (&lt;516,46 E.)"/>
        <s v="ATTREZZATURE IND.LI E COMM.LI"/>
        <s v="AUTOCARRI/AUTOVETTURE"/>
        <s v="AUTOMEZZI (ALTRI BENI)"/>
        <s v="IMMOBILIZZAZIONI MATERIALI"/>
        <s v="QUOTE SOCIALI FIDIMPRESA MARCH"/>
        <s v="ALTRI TITOLI"/>
        <s v="IMMOBILIZZAZIONI FINANZIARIE"/>
        <s v="MATERIALI VARI"/>
        <s v="MATERIE PRIME, SUSS.E DI CONSUMO"/>
        <s v="LAV.IN CORSO SU ORD. (&lt;12 MESI)"/>
        <s v="LAVORI IN CORSO SU ORDINAZIONE"/>
        <s v="RIMANENZE"/>
        <s v="CREDITI V/CLIENTI"/>
        <s v="FATTURE DA EMETTERE 2014"/>
        <s v="RIBA SBF - BPER BANCA"/>
        <s v="ALTRI CREDITI V/CLIENTI"/>
        <s v="ERARIO C/CR.IMP.INVES.BENI STRUM"/>
        <s v="RIMB.IRPEF DA 730"/>
        <s v="ERARIO C/ACCONTI IRAP"/>
        <s v="ERARIO C/RIT SUB 1039 A"/>
        <s v="ERARIO C/RIT.SU INT ATT. A"/>
        <s v="ERARIO C/RITENUTE SUBITE CREDITO"/>
        <s v="CRED.IMPOSTA ART.121 DL34/20 BON"/>
        <s v="CREDITI TRIBUTARI"/>
        <s v="INAIL C/CONGUAGLIO"/>
        <s v="CREDITI V/ISTITUTI PREVIDENZIALI"/>
        <s v="SOCI C/PRELEVAMENTI"/>
        <s v="BERTI MARINO C/ACC.TO UTILI"/>
        <s v="BERTI GIOVANNI C/ACC.TO UTILI"/>
        <s v="CALDARI CRISTIN.C/ACC.TO UTILI"/>
        <s v="BERTI ROBERTO C/ACC.TO UTILI"/>
        <s v="FURIASSI ORIANA C/ACC.TO UTILI"/>
        <s v="CREDITI V/SOCI"/>
        <s v="NOTE CREDITO DA RICEVERE"/>
        <s v="ACCONTI A FORNITORI"/>
        <s v="CREDITI V/FORNITORI"/>
        <s v="CREDITI DIVERSI"/>
        <s v="CREDITI VS F.LLI BERTI SNC"/>
        <s v="CREDITI VARI"/>
        <s v="ALTRI CREDITI"/>
        <s v="BPER BANCA C/C 6811 Bottega"/>
        <s v="BANCHE C/COMP.ZE DA LIQUIDARE"/>
        <s v="DEPOSITI BANCARI E POSTALI"/>
        <s v="DENARO IN CASSA"/>
        <s v="DENARO E VALORI IN CASSA"/>
        <s v="DISPONIBILITA' LIQUIDE"/>
        <s v="RISCONTI ATTIVI"/>
        <s v="RATEI E RISCONTI ATTIVI"/>
        <s v="DEBITI V/FORNITORI"/>
        <s v="ERARIO C/IMPOSTA SOST. RIV. TFR"/>
        <s v="ERARIO C/IVA"/>
        <s v="DEBITI TRIBUTARI"/>
        <s v="F/AMM.COSTI IMPIANTO"/>
        <s v="F/AMM COSTI DI IMPIANTO E AMPL."/>
        <s v="F/AMM IMMOBILIZZAZIONI IMMAT."/>
        <s v="F/AMM.COSTRUZIONI LEGGERE"/>
        <s v="F/AMM FABBRICATI"/>
        <s v="F/AMM.IMPIANTI GENERICI"/>
        <s v="F/AMM.MACCHINARI"/>
        <s v="F/AMM.IMPIANTI E MACCHINARIO"/>
        <s v="F/AMM.ATTREZ. IND.LI E COMM.LI"/>
        <s v="F/AMM.ATTR. VARIE E MINUTE"/>
        <s v="F/AMM. AUTOCARRI/AUTOVETTURE"/>
        <s v="F/AMM. AUTOMEZZI (ALTRI BENI)"/>
        <s v="F/AMM IMMOB. MATERIALI"/>
        <s v="ERARIO C/IRAP"/>
        <s v="BPER BANCA C/C 6998 Bottega"/>
        <s v="ASSEGNI BANCARI"/>
        <s v="ASSEGNI"/>
        <s v="CAPITALE SOCIALE"/>
        <s v="CAPITALE"/>
        <s v="RISERVA LEGALE UTILI IN TRASP."/>
        <s v="RISERVA LEGALE"/>
        <s v="RISERVA STRA.UTILI TASS.P/TRASP"/>
        <s v="ALTRE RISERVE"/>
        <s v="PATRIMONIO NETTO"/>
        <s v="DEBITI P/T.F.R."/>
        <s v="TFR LAVORO SUBORDINATO"/>
        <s v="FIN.TO BPER N.204068 OLTRE"/>
        <s v="FINANZ. BPER N. 294943 60.000"/>
        <s v="FIN.TO UBI 25.000 COVID OLTRE 29"/>
        <s v="FIN.TO BPER N. 5414317 OLTRE"/>
        <s v="FINANZ.UBI 25.000 COVID N.1974 s"/>
        <s v="FIN.TO BPER NR 204068 scad 27.02"/>
        <s v="FIN.TO acq.Renault Traffic 26.2"/>
        <s v="FIN.TO 6654 BPER 11.000 sc 13.06"/>
        <s v="FINANZ.5522998 DEL 13 08 2025"/>
        <s v="DEBITI V/BANCHE"/>
        <s v="AMMINISTRATORI C/ANTICIPI"/>
        <s v="DEBITI V/ALTRI FINANZIATORI"/>
        <s v="CLIENTI C/ANTICIPI"/>
        <s v="ACCONTI VIA LORENZETTI 15-TALACC"/>
        <s v="ACCONTI"/>
        <s v="FATTURE DA RICEVERE"/>
        <s v="FT.DA RICEV. X AFF.RAMO AZIEND"/>
        <s v="ALTRI DEBITI V/FORNITORI"/>
        <s v="ERARIO C/RIT. LAVORO DIPENDENTE"/>
        <s v="REGIONI C/RIT. ADDIZ. IRPEF"/>
        <s v="COMUNI C/RIT. ADDIZ. IRPEF"/>
        <s v="INPS C/CONTRIBUTI SOC. LAV. DIP."/>
        <s v="INAIL C/CONTRIBUTI"/>
        <s v="CASSA EDILE C/CONTRIBUTI"/>
        <s v="DEBITI V/IST.PREV.E SICUR.SOC."/>
        <s v="DIPENDENTI C/RETRIBUZIONI"/>
        <s v="ALTRI DEBITI"/>
        <s v="RATEI PASSIVI"/>
        <s v="RISCONTI PASSIVI"/>
        <s v="RATEI E RISCONTI PASSIVI"/>
        <s v="LAV.IN CORSO.C/E.I. &lt;12M.VAL.COS"/>
        <s v="VAR. DEI LAVORI IN CORSO SU ORD."/>
        <s v="MATERIE PRIME C/ACQ.P/PROD.SERV."/>
        <s v="MATERIE PRIME"/>
        <s v="MATERIE SUSS. C/ACQUISTI"/>
        <s v="MATERIE SUSSIDIARIE"/>
        <s v="MATERIE DI CONSUMO C/ACQUISTI"/>
        <s v="MATERIE DI CONSUMO"/>
        <s v="MERCI C/ACQUISTI P/PROD.SERV."/>
        <s v="ACQ. PRODOTTI FINITI"/>
        <s v="MERCI"/>
        <s v="PRODOTTI SANIF.E DISP.PROT.INDIV"/>
        <s v="CANCELLERIA"/>
        <s v="CARBURANTI E LUBRIFICANTI"/>
        <s v="INDUMENTI DI  LAVORO"/>
        <s v="SPESE ACCESSORIE SU ACQUISTI"/>
        <s v="ALTRI ACQUISTI"/>
        <s v="COSTI P/MAT.PRI,SUSS.,CON.E MER."/>
        <s v="TRASPORTI SU ACQUISTI"/>
        <s v="LAVORAZ.DI TERZI P/PROD.SERVIZI"/>
        <s v="MANUT.E RIPARAZ.BENI PROPRI 5%"/>
        <s v="MAN. E RIP. BENI DI TERZI"/>
        <s v="ALTRI ONERI P/AUTOMEZZI"/>
        <s v="ASSICURAZIONI R.C.A."/>
        <s v="ASSICURAZ. NON OBBLIGATORIE"/>
        <s v="SPESE DI RAPPRESENTANZA DEDUCIB."/>
        <s v="PASTI/SOGGIORNI-SPESE DI RAPPRES"/>
        <s v="PASTI E SOGGIORNI"/>
        <s v="RICERCA,ADDESTRAM.E FORMAZIONE"/>
        <s v="SERVIZIO SMALTIMENTO RIFIUTI"/>
        <s v="ONERI BANCARI"/>
        <s v="ALTRI COSTI P/PRODUZIONE SERVIZI"/>
        <s v="SPESE PRATICHE TELEMATICHE"/>
        <s v="ALTRI SERVIZI DEDUCIBILI"/>
        <s v="CANONE INTERCONNESSIONE 4.0"/>
        <s v="CONSULENZA FISCALE DA IMPRESE"/>
        <s v="CONSULENZA LAVORO DA IMPRESA"/>
        <s v="CONSULENZA TECNICA"/>
        <s v="COMM.NI-SPESE EROGAZ. MUTUI-FIN."/>
        <s v="CONSULENZA AMBIEN.LE SIC.LAVORO"/>
        <s v="VALORI BOLLATI"/>
        <s v="LIC. D'USO SOFTWARE DI ESERCIZIO"/>
        <s v="ASSIC. AUTOMEZZI IN LEASING"/>
        <s v="CONSUL. FISCALE STRAORDINARIA"/>
        <s v="COSTI PER SERVIZI"/>
        <s v="CANONI AFFITTO D'AZIENDA"/>
        <s v="NOLEGGIO DEDUCIBILE"/>
        <s v="AFFITTI E LOCAZIONI"/>
        <s v="CANONI LEASING SU OPEL COMBO"/>
        <s v="LEASING"/>
        <s v="COSTI P/GODIMENTO BENI DI TERZI"/>
        <s v="SALARI"/>
        <s v="SALARI E STIPENDI"/>
        <s v="ONERI SOCIALI INPS"/>
        <s v="ONERI SOCIALI INAIL"/>
        <s v="ONERI SOCIALI CASSA EDILE"/>
        <s v="ONERI CONTR. FONDO SANITARIO"/>
        <s v="ONERI SOCIALI"/>
        <s v="TFR"/>
        <s v="TRATTAMENTO FINE RAPPORTO"/>
        <s v="TRATT.PREV.INTEGR.TEMPO IND."/>
        <s v="TRATTAMENTO DI QUIESC.E SIMILI"/>
        <s v="COSTI PER IL PERSONALE"/>
        <s v="AMM.TO ORD.IMP.GEN."/>
        <s v="AMM.TO ORD. MACC."/>
        <s v="AMM.TO IMPIANTI E MACCHINARIO"/>
        <s v="AMM.TO ORD.AUTOCARRI/AUTOVET."/>
        <s v="AMM.TO AUTOMEZZI (ALTRI BENI)"/>
        <s v="AMM.TO IMM. MAT. - ORDINARIO"/>
        <s v="MATERIALI VARI C/ESIST.INIZIALI"/>
        <s v="VARIAZ.RIMAN. DI MATERIALI VARI"/>
        <s v="VAR.RIM.DI MAT.PR,SUS,CONS,MERCI"/>
        <s v="IMPOSTA DI BOLLO"/>
        <s v="TASSE DI CONCESSIONE GOVERNAT."/>
        <s v="TASSE DI PROPRIETA' AUTOVEICOLI"/>
        <s v="DIRITTI CAMERALI"/>
        <s v="DIRITTI DEPOSITO BILANCIO"/>
        <s v="IMPOSTE E TASSE"/>
        <s v="MULTE E AMMENDE INDEDUCIBILI"/>
        <s v="SOPRAV. PASSIVE ORD.INDEDUCIBILI"/>
        <s v="OMAGGI A CLIENTI&gt;50 EURO"/>
        <s v="ABBUONI/ARROTONDAMENTI PASSIVI"/>
        <s v="ALTRI ONERI DI GEST. DEDUC."/>
        <s v="SPESE VARIE AMMINISTRATIVE"/>
        <s v="ARROTONDAMENTI PASSIVI"/>
        <s v="ALTRI ONERI DI GEST. DEDUCIBILI"/>
        <s v="ALTRI ONERI DIVERSI DI GESTIONE"/>
        <s v="ONERI DIVERSI DI GESTIONE"/>
        <s v="INT.PASS.SUI DEB.V/BAN.DI CR.ORD"/>
        <s v="INTERESSI PASSIVI SU MUTUI"/>
        <s v="INT.PASS.SUI DEB. V/ALTRI FINAN."/>
        <s v="SCONTI E ALTRI ONERI FINANZ.DED."/>
        <s v="INTERESSI PASSIVI INDEDUCIBILI"/>
        <s v="INTERESSI PASS X RATEIZZAZIONI"/>
        <s v="VERSO ALTRI (ONERI FINANZIARI)"/>
        <s v="INT. PASS.E ALTRI ONERI FINANZ."/>
        <s v="SOPR.PAS.ESTR.ALL'ATT.DED."/>
        <s v="VARIE (ONERI STRAORDINARI)"/>
        <s v="ONERI STRAORDINARI"/>
        <s v="IRAP DELL'ESERCIZIO"/>
        <s v="IMPOSTE CORRENTI"/>
        <s v="IMPOSTE SUL REDDITO DELL'ESERC."/>
        <s v="RIMB.SPESE RILEV. ST.DI SET./ISA"/>
        <s v="RICAVI DELLE VENDITE"/>
        <s v="LAVORAZIONI C/TERZI"/>
        <s v="LAV. VIA MONTEARGENT.22/24-PESAR"/>
        <s v="LAVORI VIA ZAMBONINI 40-42 MONTE"/>
        <s v="LAVORI VIA LORENZETTI, 13/15 TAL"/>
        <s v="LAVORI VIA MONTEARGENT. PESARO"/>
        <s v="LAVORI S2 SPA-FERMIGNANO via P."/>
        <s v="LAVORI VIA SERRAdiGENGA-VALLEFOG"/>
        <s v="LAVORI Str.Provinciale 145/1-OST"/>
        <s v="RICAVI DELLE PRESTAZ. - IMPRESE"/>
        <s v="RICAVI"/>
        <s v="LAV.IN CORSO C/R.F.&lt;12M.VAL.COS"/>
        <s v="SOPRAVVENIENZE ORDINARIE ATTIVE"/>
        <s v="ALTRI RICAVI E PROV VARI X"/>
        <s v="ABBUONI ATTIVI SERVIZI"/>
        <s v="ARROTONDAMENTI ATTIVI"/>
        <s v="ALTRI PROV. RISARCIMENTO ASSIC."/>
        <s v="ALTRI PROVENTI PER BONUS EDILIZI"/>
        <s v="ALTRI RICAVI E PROVENTI"/>
        <s v="CONTR.C/IMP.INVEST.BENI STRUMENT"/>
        <s v="CONTRIBUTI IN CONTO CAPITALE"/>
        <s v="MATERIALI VARI C/RIM. FINALI"/>
        <s v="INT.ATT.SU DEPOSITI BANCARI"/>
        <s v="PROV. DIVERSI DAI PRECEDENTI"/>
        <s v="ALTRI PROVENTI FINANZIARI"/>
        <m/>
        <s v="AMM.TO TERRENI E FABBRICATI" u="1"/>
        <s v="SPESE CONDOMINIALI" u="1"/>
        <s v="IMPOSTE ESERCIZI PRECEDENTI" u="1"/>
        <s v="AMM.TO ORD.FABB.IND.LI E COM." u="1"/>
        <s v="SALDO IRAP SOC PERS" u="1"/>
        <s v="MOBILI E MACC.D'UFF.(ALTRI BENI)" u="1"/>
        <s v="FABBRIC. V.INDIPENDENZA MONTEC" u="1"/>
        <s v="VARIAZ.RIMANENZE DI MERCI" u="1"/>
        <s v="AFF.ATT. IMMOB. IN MORCIOLA" u="1"/>
        <s v="FT.DA EMETT. AFF.RAMO AZIENDA" u="1"/>
        <s v="F/AMM.FABBR. IND.LI E COMM.LI." u="1"/>
        <s v="SOPRAVV. ORD. ATTIVE NON TASSAB." u="1"/>
        <s v="BERTI ROBERTO S/CONTO" u="1"/>
        <s v="F/AMM. MOBILI E MACCH. D'UFFICIO" u="1"/>
        <s v="F/AMM. ARREDAMENTO" u="1"/>
        <s v="FABBRICATI IND.LI E COMM.LI" u="1"/>
        <s v="F/AMM.MACCH. ELETTROM. D'UFF." u="1"/>
        <s v="FURIASSI ORIANA S/CONTO" u="1"/>
        <s v="F/AMM. TERRENI" u="1"/>
        <s v="BERTI MARINO S/CONTO" u="1"/>
        <s v="ACCONTI IRAP SOC PERS" u="1"/>
        <s v="F/AMM. ALTRI BENI" u="1"/>
        <s v="RIMBORSI SPESE NON RILEV.ST./ISA" u="1"/>
        <s v="TERRENI" u="1"/>
        <s v="BERTI GIOVANNI S/CONTO" u="1"/>
        <s v="CALDARI CRISTINA S/CONTO" u="1"/>
        <s v="ERARIO C/RIT SU INT ATTIVI D" u="1"/>
        <s v="Rimb. imp registro su contr.loc." u="1"/>
        <s v="PLUSV. ORDIN. NON RATEIZ.IMP." u="1"/>
        <s v="FATT.DA RICEVERE ST.RICCI ASS." u="1"/>
        <s v="UTILI (PERDITE) PORTATI A NUOVO" u="1"/>
        <s v="DEBITI VS F.LLI BERTI SRL" u="1"/>
        <s v="ARREDAMENTO" u="1"/>
        <s v="ALTRI BENI" u="1"/>
        <s v="AMMINISTRATORE C/ANTICIPI" u="1"/>
        <s v="FORMALITA' AMMINISTRATIVE" u="1"/>
        <s v="AFF.ATT. V.INDIPENDENZA MONTEC" u="1"/>
        <s v="FABBR.V.INDIPENDENZA MONTEC RF" u="1"/>
        <s v="DEBITI PER CAUZIONI" u="1"/>
        <s v="IVA SU ACQ. INDETRAIBILE" u="1"/>
        <s v="BPER BANCA C/C 934783 Bottega" u="1"/>
        <s v="UTILI PORTATI A NUOVO" u="1"/>
        <s v="PRODOTTI FINITI E MERCI" u="1"/>
        <s v="MACCHINE ELETTROMEC. D'UFFICIO" u="1"/>
        <s v="IMU INDEDUCIBILE" u="1"/>
        <s v="IMPOSTA DI REGISTRO" u="1"/>
        <s v="AMM.TO ORD.FABB.IND.LI E COM.IND" u="1"/>
        <s v="IMPOSTE ESERC.PRECEDENTI" u="1"/>
        <s v="CANONI ATT.AFFITTO RAMO AZIENDA" u="1"/>
        <s v="FABBR.V.INDIPENDENZA MONTEC RI" u="1"/>
      </sharedItems>
    </cacheField>
    <cacheField name="M" numFmtId="0">
      <sharedItems containsBlank="1" count="6">
        <m/>
        <s v="Ric"/>
        <s v="CVar"/>
        <s v=""/>
        <s v="CFix"/>
        <s v="Tax"/>
      </sharedItems>
    </cacheField>
    <cacheField name="sM" numFmtId="0">
      <sharedItems containsBlank="1" count="15">
        <m/>
        <s v="Rim_I"/>
        <s v="CAV"/>
        <s v=""/>
        <s v="CSV"/>
        <s v="ODG"/>
        <s v="CGT"/>
        <s v="CPE"/>
        <s v="AMM"/>
        <s v="INT"/>
        <s v="IMP"/>
        <s v="RCV"/>
        <s v="Rim_F"/>
        <s v="ARP"/>
        <s v="APF"/>
      </sharedItems>
    </cacheField>
    <cacheField name="DareAvere1" numFmtId="0">
      <sharedItems containsBlank="1"/>
    </cacheField>
    <cacheField name="2023" numFmtId="0">
      <sharedItems containsString="0" containsBlank="1" containsNumber="1" minValue="0" maxValue="747306.13"/>
    </cacheField>
    <cacheField name="DareAvere2" numFmtId="0">
      <sharedItems containsBlank="1"/>
    </cacheField>
    <cacheField name="2024" numFmtId="0">
      <sharedItems containsString="0" containsBlank="1" containsNumber="1" minValue="0" maxValue="930513.04"/>
    </cacheField>
    <cacheField name="Perc1" numFmtId="0">
      <sharedItems containsBlank="1"/>
    </cacheField>
    <cacheField name="DareAvere3" numFmtId="0">
      <sharedItems containsBlank="1"/>
    </cacheField>
    <cacheField name="2025" numFmtId="0">
      <sharedItems containsString="0" containsBlank="1" containsNumber="1" minValue="0" maxValue="926256.89"/>
    </cacheField>
    <cacheField name="Perc2" numFmtId="0">
      <sharedItems containsBlank="1" containsMixedTypes="1" containsNumber="1" minValue="-100" maxValue="973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s v="F.LLI BERTI SRL"/>
    <s v="03/05/005"/>
    <x v="0"/>
    <x v="0"/>
    <x v="0"/>
    <s v="D"/>
    <n v="2800"/>
    <s v="D"/>
    <n v="2800"/>
    <m/>
    <s v="D"/>
    <n v="2800"/>
    <m/>
  </r>
  <r>
    <s v="F.LLI BERTI SRL"/>
    <s v="03/05/000"/>
    <x v="1"/>
    <x v="0"/>
    <x v="0"/>
    <s v="D"/>
    <n v="2800"/>
    <s v="D"/>
    <n v="2800"/>
    <m/>
    <s v="D"/>
    <n v="2800"/>
    <m/>
  </r>
  <r>
    <s v="F.LLI BERTI SRL"/>
    <s v="03/00/000"/>
    <x v="2"/>
    <x v="0"/>
    <x v="0"/>
    <s v="D"/>
    <n v="2800"/>
    <s v="D"/>
    <n v="2800"/>
    <m/>
    <s v="D"/>
    <n v="2800"/>
    <m/>
  </r>
  <r>
    <s v="F.LLI BERTI SRL"/>
    <s v="06/05/020"/>
    <x v="3"/>
    <x v="0"/>
    <x v="0"/>
    <s v="D"/>
    <n v="346.75"/>
    <s v="D"/>
    <n v="346.75"/>
    <m/>
    <s v="D"/>
    <n v="346.75"/>
    <m/>
  </r>
  <r>
    <s v="F.LLI BERTI SRL"/>
    <s v="06/05/000"/>
    <x v="4"/>
    <x v="0"/>
    <x v="0"/>
    <s v="D"/>
    <n v="346.75"/>
    <s v="D"/>
    <n v="346.75"/>
    <m/>
    <s v="D"/>
    <n v="346.75"/>
    <m/>
  </r>
  <r>
    <s v="F.LLI BERTI SRL"/>
    <s v="06/10/005"/>
    <x v="5"/>
    <x v="0"/>
    <x v="0"/>
    <s v="D"/>
    <n v="16232.4"/>
    <s v="D"/>
    <n v="16232.4"/>
    <m/>
    <s v="D"/>
    <n v="16232.4"/>
    <m/>
  </r>
  <r>
    <s v="F.LLI BERTI SRL"/>
    <s v="06/10/015"/>
    <x v="6"/>
    <x v="0"/>
    <x v="0"/>
    <s v="D"/>
    <n v="4050"/>
    <s v="D"/>
    <n v="15116.17"/>
    <s v=" 73,207-"/>
    <s v="D"/>
    <n v="15116.17"/>
    <m/>
  </r>
  <r>
    <s v="F.LLI BERTI SRL"/>
    <s v="06/10/000"/>
    <x v="7"/>
    <x v="0"/>
    <x v="0"/>
    <s v="D"/>
    <n v="20282.400000000001"/>
    <s v="D"/>
    <n v="31348.57"/>
    <s v=" 35,300-"/>
    <s v="D"/>
    <n v="31348.57"/>
    <m/>
  </r>
  <r>
    <s v="F.LLI BERTI SRL"/>
    <s v="06/15/005"/>
    <x v="8"/>
    <x v="0"/>
    <x v="0"/>
    <s v="D"/>
    <n v="5030.3999999999996"/>
    <s v="D"/>
    <n v="5030.3999999999996"/>
    <m/>
    <s v="D"/>
    <n v="5030.3999999999996"/>
    <m/>
  </r>
  <r>
    <s v="F.LLI BERTI SRL"/>
    <s v="06/15/010"/>
    <x v="9"/>
    <x v="0"/>
    <x v="0"/>
    <s v="D"/>
    <n v="790"/>
    <s v="D"/>
    <n v="790"/>
    <m/>
    <s v="D"/>
    <n v="790"/>
    <m/>
  </r>
  <r>
    <s v="F.LLI BERTI SRL"/>
    <s v="06/15/000"/>
    <x v="10"/>
    <x v="0"/>
    <x v="0"/>
    <s v="D"/>
    <n v="5820.4"/>
    <s v="D"/>
    <n v="5820.4"/>
    <m/>
    <s v="D"/>
    <n v="5820.4"/>
    <m/>
  </r>
  <r>
    <s v="F.LLI BERTI SRL"/>
    <s v="06/25/015"/>
    <x v="11"/>
    <x v="0"/>
    <x v="0"/>
    <s v="D"/>
    <n v="146878.60999999999"/>
    <s v="D"/>
    <n v="153947.72"/>
    <s v="  4,591-"/>
    <s v="D"/>
    <n v="153947.72"/>
    <m/>
  </r>
  <r>
    <s v="F.LLI BERTI SRL"/>
    <s v="06/25/000"/>
    <x v="12"/>
    <x v="0"/>
    <x v="0"/>
    <s v="D"/>
    <n v="146878.60999999999"/>
    <s v="D"/>
    <n v="153947.72"/>
    <s v="  4,591-"/>
    <s v="D"/>
    <n v="153947.72"/>
    <m/>
  </r>
  <r>
    <s v="F.LLI BERTI SRL"/>
    <s v="06/00/000"/>
    <x v="13"/>
    <x v="0"/>
    <x v="0"/>
    <s v="D"/>
    <n v="173328.16"/>
    <s v="D"/>
    <n v="191463.44"/>
    <s v="  9,471-"/>
    <s v="D"/>
    <n v="191463.44"/>
    <m/>
  </r>
  <r>
    <s v="F.LLI BERTI SRL"/>
    <s v="09/15/501"/>
    <x v="14"/>
    <x v="0"/>
    <x v="0"/>
    <s v="D"/>
    <n v="701.76"/>
    <s v="D"/>
    <n v="701.76"/>
    <m/>
    <s v="D"/>
    <n v="701.76"/>
    <m/>
  </r>
  <r>
    <s v="F.LLI BERTI SRL"/>
    <s v="09/15/000"/>
    <x v="15"/>
    <x v="0"/>
    <x v="0"/>
    <s v="D"/>
    <n v="701.76"/>
    <s v="D"/>
    <n v="701.76"/>
    <m/>
    <s v="D"/>
    <n v="701.76"/>
    <m/>
  </r>
  <r>
    <s v="F.LLI BERTI SRL"/>
    <s v="09/00/000"/>
    <x v="16"/>
    <x v="0"/>
    <x v="0"/>
    <s v="D"/>
    <n v="701.76"/>
    <s v="D"/>
    <n v="701.76"/>
    <m/>
    <s v="D"/>
    <n v="701.76"/>
    <m/>
  </r>
  <r>
    <s v="F.LLI BERTI SRL"/>
    <s v="11/05/020"/>
    <x v="17"/>
    <x v="0"/>
    <x v="0"/>
    <s v="D"/>
    <n v="645.80999999999995"/>
    <s v="D"/>
    <n v="3602.11"/>
    <s v=" 82,071-"/>
    <m/>
    <n v="0"/>
    <n v="100"/>
  </r>
  <r>
    <s v="F.LLI BERTI SRL"/>
    <s v="11/05/000"/>
    <x v="18"/>
    <x v="0"/>
    <x v="0"/>
    <s v="D"/>
    <n v="645.80999999999995"/>
    <s v="D"/>
    <n v="3602.11"/>
    <s v=" 82,071-"/>
    <m/>
    <n v="0"/>
    <n v="100"/>
  </r>
  <r>
    <s v="F.LLI BERTI SRL"/>
    <s v="11/15/005"/>
    <x v="19"/>
    <x v="0"/>
    <x v="0"/>
    <s v="D"/>
    <n v="116575"/>
    <s v="D"/>
    <n v="11275"/>
    <s v="933,924"/>
    <s v="D"/>
    <n v="24450"/>
    <n v="-53.884999999999998"/>
  </r>
  <r>
    <s v="F.LLI BERTI SRL"/>
    <s v="11/15/000"/>
    <x v="20"/>
    <x v="0"/>
    <x v="0"/>
    <s v="D"/>
    <n v="116575"/>
    <s v="D"/>
    <n v="11275"/>
    <s v="933,924"/>
    <s v="D"/>
    <n v="24450"/>
    <n v="-53.884999999999998"/>
  </r>
  <r>
    <s v="F.LLI BERTI SRL"/>
    <s v="11/00/000"/>
    <x v="21"/>
    <x v="0"/>
    <x v="0"/>
    <s v="D"/>
    <n v="117220.81"/>
    <s v="D"/>
    <n v="14877.11"/>
    <s v="687,927"/>
    <s v="D"/>
    <n v="24450"/>
    <n v="-39.152000000000001"/>
  </r>
  <r>
    <s v="F.LLI BERTI SRL"/>
    <s v="14/00000"/>
    <x v="22"/>
    <x v="0"/>
    <x v="0"/>
    <s v="D"/>
    <n v="43862.5"/>
    <s v="D"/>
    <n v="55359.05"/>
    <s v=" 20,767-"/>
    <s v="D"/>
    <n v="269974.40999999997"/>
    <n v="-79.494"/>
  </r>
  <r>
    <s v="F.LLI BERTI SRL"/>
    <s v="15/05/501"/>
    <x v="23"/>
    <x v="0"/>
    <x v="0"/>
    <s v="D"/>
    <n v="45588.94"/>
    <s v="D"/>
    <n v="45588.94"/>
    <m/>
    <s v="D"/>
    <n v="45588.94"/>
    <m/>
  </r>
  <r>
    <s v="F.LLI BERTI SRL"/>
    <s v="15/05/519"/>
    <x v="24"/>
    <x v="0"/>
    <x v="0"/>
    <s v="D"/>
    <n v="50973"/>
    <s v="D"/>
    <n v="54731.22"/>
    <s v="  6,866-"/>
    <s v="D"/>
    <n v="58050.13"/>
    <n v="-5.7169999999999996"/>
  </r>
  <r>
    <s v="F.LLI BERTI SRL"/>
    <s v="15/05/000"/>
    <x v="25"/>
    <x v="0"/>
    <x v="0"/>
    <s v="D"/>
    <n v="96561.94"/>
    <s v="D"/>
    <n v="100320.16"/>
    <s v="  3,746-"/>
    <s v="D"/>
    <n v="103639.07"/>
    <n v="-3.202"/>
  </r>
  <r>
    <s v="F.LLI BERTI SRL"/>
    <s v="15/00/000"/>
    <x v="25"/>
    <x v="0"/>
    <x v="0"/>
    <s v="D"/>
    <n v="96561.94"/>
    <s v="D"/>
    <n v="100320.16"/>
    <s v="  3,746-"/>
    <s v="D"/>
    <n v="103639.07"/>
    <n v="-3.202"/>
  </r>
  <r>
    <s v="F.LLI BERTI SRL"/>
    <s v="18/20/068"/>
    <x v="26"/>
    <x v="0"/>
    <x v="0"/>
    <s v="D"/>
    <n v="31821.759999999998"/>
    <s v="D"/>
    <n v="23680.13"/>
    <s v=" 34,381"/>
    <s v="D"/>
    <n v="23680.13"/>
    <m/>
  </r>
  <r>
    <s v="F.LLI BERTI SRL"/>
    <s v="18/20/527"/>
    <x v="27"/>
    <x v="0"/>
    <x v="0"/>
    <s v="D"/>
    <n v="0"/>
    <m/>
    <n v="0"/>
    <m/>
    <s v="D"/>
    <n v="730.55"/>
    <n v="-100"/>
  </r>
  <r>
    <s v="F.LLI BERTI SRL"/>
    <s v="18/20/534"/>
    <x v="28"/>
    <x v="0"/>
    <x v="0"/>
    <s v="D"/>
    <n v="10126"/>
    <s v="D"/>
    <n v="8739"/>
    <s v=" 15,871"/>
    <s v="D"/>
    <n v="10047"/>
    <n v="-13.018000000000001"/>
  </r>
  <r>
    <s v="F.LLI BERTI SRL"/>
    <s v="18/20/540"/>
    <x v="29"/>
    <x v="0"/>
    <x v="0"/>
    <s v="D"/>
    <n v="13585.71"/>
    <s v="D"/>
    <n v="25784.66"/>
    <s v=" 47,310-"/>
    <s v="D"/>
    <n v="14167.7"/>
    <n v="81.995999999999995"/>
  </r>
  <r>
    <s v="F.LLI BERTI SRL"/>
    <s v="18/20/541"/>
    <x v="30"/>
    <x v="0"/>
    <x v="0"/>
    <s v="D"/>
    <n v="65.930000000000007"/>
    <s v="D"/>
    <n v="138.86000000000001"/>
    <s v=" 52,520-"/>
    <m/>
    <n v="0"/>
    <n v="100"/>
  </r>
  <r>
    <s v="F.LLI BERTI SRL"/>
    <s v="18/20/554"/>
    <x v="31"/>
    <x v="0"/>
    <x v="0"/>
    <s v="D"/>
    <n v="497.64"/>
    <s v="D"/>
    <n v="24"/>
    <s v="***,000"/>
    <m/>
    <n v="0"/>
    <n v="100"/>
  </r>
  <r>
    <s v="F.LLI BERTI SRL"/>
    <s v="18/20/561"/>
    <x v="32"/>
    <x v="0"/>
    <x v="0"/>
    <s v="D"/>
    <n v="11517.9"/>
    <s v="D"/>
    <n v="11212.2"/>
    <s v="  2,726"/>
    <m/>
    <n v="0"/>
    <n v="100"/>
  </r>
  <r>
    <s v="F.LLI BERTI SRL"/>
    <s v="18/20/564"/>
    <x v="32"/>
    <x v="0"/>
    <x v="0"/>
    <s v="D"/>
    <n v="35165.1"/>
    <s v="D"/>
    <n v="23952.9"/>
    <s v=" 46,809"/>
    <s v="D"/>
    <n v="23952.9"/>
    <m/>
  </r>
  <r>
    <s v="F.LLI BERTI SRL"/>
    <s v="18/20/000"/>
    <x v="33"/>
    <x v="0"/>
    <x v="0"/>
    <s v="D"/>
    <n v="102780.04"/>
    <s v="D"/>
    <n v="93531.75"/>
    <s v="  9,887"/>
    <s v="D"/>
    <n v="72578.28"/>
    <n v="28.87"/>
  </r>
  <r>
    <s v="F.LLI BERTI SRL"/>
    <s v="18/25/030"/>
    <x v="34"/>
    <x v="0"/>
    <x v="0"/>
    <s v="D"/>
    <n v="447.84"/>
    <m/>
    <n v="0"/>
    <s v="100,000"/>
    <m/>
    <n v="0"/>
    <m/>
  </r>
  <r>
    <s v="F.LLI BERTI SRL"/>
    <s v="18/25/000"/>
    <x v="35"/>
    <x v="0"/>
    <x v="0"/>
    <s v="D"/>
    <n v="447.84"/>
    <m/>
    <n v="0"/>
    <s v="100,000"/>
    <m/>
    <n v="0"/>
    <m/>
  </r>
  <r>
    <s v="F.LLI BERTI SRL"/>
    <s v="18/30/005"/>
    <x v="36"/>
    <x v="0"/>
    <x v="0"/>
    <s v="D"/>
    <n v="0"/>
    <m/>
    <n v="0"/>
    <m/>
    <s v="D"/>
    <n v="32.5"/>
    <n v="-100"/>
  </r>
  <r>
    <s v="F.LLI BERTI SRL"/>
    <s v="18/30/501"/>
    <x v="37"/>
    <x v="0"/>
    <x v="0"/>
    <s v="D"/>
    <n v="166314.45000000001"/>
    <s v="D"/>
    <n v="220885.58"/>
    <s v=" 24,705-"/>
    <s v="D"/>
    <n v="220885.58"/>
    <m/>
  </r>
  <r>
    <s v="F.LLI BERTI SRL"/>
    <s v="18/30/502"/>
    <x v="38"/>
    <x v="0"/>
    <x v="0"/>
    <s v="D"/>
    <n v="185467.35"/>
    <s v="D"/>
    <n v="233862.16"/>
    <s v=" 20,693-"/>
    <s v="D"/>
    <n v="237619.08"/>
    <n v="-1.581"/>
  </r>
  <r>
    <s v="F.LLI BERTI SRL"/>
    <s v="18/30/503"/>
    <x v="39"/>
    <x v="0"/>
    <x v="0"/>
    <s v="D"/>
    <n v="79939.06"/>
    <s v="D"/>
    <n v="115511.77"/>
    <s v=" 30,795-"/>
    <s v="D"/>
    <n v="115511.77"/>
    <m/>
  </r>
  <r>
    <s v="F.LLI BERTI SRL"/>
    <s v="18/30/504"/>
    <x v="40"/>
    <x v="0"/>
    <x v="0"/>
    <s v="D"/>
    <n v="142401.22"/>
    <s v="D"/>
    <n v="187490.86"/>
    <s v=" 24,048-"/>
    <s v="D"/>
    <n v="192465.86"/>
    <n v="-2.5840000000000001"/>
  </r>
  <r>
    <s v="F.LLI BERTI SRL"/>
    <s v="18/30/505"/>
    <x v="41"/>
    <x v="0"/>
    <x v="0"/>
    <s v="D"/>
    <n v="52824.04"/>
    <s v="D"/>
    <n v="67523.149999999994"/>
    <s v=" 21,768-"/>
    <s v="D"/>
    <n v="69037.320000000007"/>
    <n v="-2.1930000000000001"/>
  </r>
  <r>
    <s v="F.LLI BERTI SRL"/>
    <s v="18/30/000"/>
    <x v="42"/>
    <x v="0"/>
    <x v="0"/>
    <s v="D"/>
    <n v="626946.12"/>
    <s v="D"/>
    <n v="825273.52"/>
    <s v=" 24,031-"/>
    <s v="D"/>
    <n v="835552.11"/>
    <n v="-1.23"/>
  </r>
  <r>
    <s v="F.LLI BERTI SRL"/>
    <s v="18/40/040"/>
    <x v="43"/>
    <x v="0"/>
    <x v="0"/>
    <s v="D"/>
    <n v="0"/>
    <m/>
    <n v="0"/>
    <m/>
    <s v="D"/>
    <n v="415.29"/>
    <n v="-100"/>
  </r>
  <r>
    <s v="F.LLI BERTI SRL"/>
    <s v="18/40/501"/>
    <x v="44"/>
    <x v="0"/>
    <x v="0"/>
    <s v="D"/>
    <n v="0"/>
    <m/>
    <n v="0"/>
    <m/>
    <s v="D"/>
    <n v="6003.44"/>
    <n v="-100"/>
  </r>
  <r>
    <s v="F.LLI BERTI SRL"/>
    <s v="18/40/000"/>
    <x v="45"/>
    <x v="0"/>
    <x v="0"/>
    <s v="D"/>
    <n v="0"/>
    <m/>
    <n v="0"/>
    <m/>
    <s v="D"/>
    <n v="6418.73"/>
    <n v="-100"/>
  </r>
  <r>
    <s v="F.LLI BERTI SRL"/>
    <s v="18/45/090"/>
    <x v="46"/>
    <x v="0"/>
    <x v="0"/>
    <s v="D"/>
    <n v="5424.36"/>
    <m/>
    <n v="0"/>
    <s v="100,000"/>
    <m/>
    <n v="0"/>
    <m/>
  </r>
  <r>
    <s v="F.LLI BERTI SRL"/>
    <s v="18/45/501"/>
    <x v="47"/>
    <x v="0"/>
    <x v="0"/>
    <s v="D"/>
    <n v="11707.77"/>
    <s v="D"/>
    <n v="11707.77"/>
    <m/>
    <s v="D"/>
    <n v="11707.77"/>
    <m/>
  </r>
  <r>
    <s v="F.LLI BERTI SRL"/>
    <s v="18/45/000"/>
    <x v="48"/>
    <x v="0"/>
    <x v="0"/>
    <s v="D"/>
    <n v="17132.13"/>
    <s v="D"/>
    <n v="11707.77"/>
    <s v=" 46,331"/>
    <s v="D"/>
    <n v="11707.77"/>
    <m/>
  </r>
  <r>
    <s v="F.LLI BERTI SRL"/>
    <s v="18/00/000"/>
    <x v="49"/>
    <x v="0"/>
    <x v="0"/>
    <s v="D"/>
    <n v="747306.13"/>
    <s v="D"/>
    <n v="930513.04"/>
    <s v=" 19,688-"/>
    <s v="D"/>
    <n v="926256.89"/>
    <n v="0.45900000000000002"/>
  </r>
  <r>
    <s v="F.LLI BERTI SRL"/>
    <s v="24/05/505"/>
    <x v="50"/>
    <x v="0"/>
    <x v="0"/>
    <s v="D"/>
    <n v="56847.199999999997"/>
    <s v="D"/>
    <n v="6348.96"/>
    <s v="795,378"/>
    <m/>
    <n v="0"/>
    <n v="100"/>
  </r>
  <r>
    <s v="F.LLI BERTI SRL"/>
    <s v="24/05/510"/>
    <x v="51"/>
    <x v="0"/>
    <x v="0"/>
    <s v="D"/>
    <n v="0"/>
    <s v="D"/>
    <n v="377.82"/>
    <s v="100,000-"/>
    <m/>
    <n v="0"/>
    <n v="100"/>
  </r>
  <r>
    <s v="F.LLI BERTI SRL"/>
    <s v="24/05/000"/>
    <x v="52"/>
    <x v="0"/>
    <x v="0"/>
    <s v="D"/>
    <n v="56847.199999999997"/>
    <s v="D"/>
    <n v="6726.78"/>
    <s v="745,087"/>
    <m/>
    <n v="0"/>
    <n v="100"/>
  </r>
  <r>
    <s v="F.LLI BERTI SRL"/>
    <s v="24/15/005"/>
    <x v="53"/>
    <x v="0"/>
    <x v="0"/>
    <s v="D"/>
    <n v="28.97"/>
    <s v="D"/>
    <n v="14.48"/>
    <s v="100,069"/>
    <s v="D"/>
    <n v="814.48"/>
    <n v="-98.221999999999994"/>
  </r>
  <r>
    <s v="F.LLI BERTI SRL"/>
    <s v="24/15/000"/>
    <x v="54"/>
    <x v="0"/>
    <x v="0"/>
    <s v="D"/>
    <n v="28.97"/>
    <s v="D"/>
    <n v="14.48"/>
    <s v="100,069"/>
    <s v="D"/>
    <n v="814.48"/>
    <n v="-98.221999999999994"/>
  </r>
  <r>
    <s v="F.LLI BERTI SRL"/>
    <s v="24/00/000"/>
    <x v="55"/>
    <x v="0"/>
    <x v="0"/>
    <s v="D"/>
    <n v="56876.17"/>
    <s v="D"/>
    <n v="6741.26"/>
    <s v="743,702"/>
    <s v="D"/>
    <n v="814.48"/>
    <n v="727.67600000000004"/>
  </r>
  <r>
    <s v="F.LLI BERTI SRL"/>
    <s v="26/10/005"/>
    <x v="56"/>
    <x v="0"/>
    <x v="0"/>
    <s v="D"/>
    <n v="1574.21"/>
    <s v="D"/>
    <n v="1655.56"/>
    <s v="  4,913-"/>
    <s v="D"/>
    <n v="1401.55"/>
    <n v="18.123000000000001"/>
  </r>
  <r>
    <s v="F.LLI BERTI SRL"/>
    <s v="26/10/000"/>
    <x v="56"/>
    <x v="0"/>
    <x v="0"/>
    <s v="D"/>
    <n v="1574.21"/>
    <s v="D"/>
    <n v="1655.56"/>
    <s v="  4,913-"/>
    <s v="D"/>
    <n v="1401.55"/>
    <n v="18.123000000000001"/>
  </r>
  <r>
    <s v="F.LLI BERTI SRL"/>
    <s v="26/00/000"/>
    <x v="57"/>
    <x v="0"/>
    <x v="0"/>
    <s v="D"/>
    <n v="1574.21"/>
    <s v="D"/>
    <n v="1655.56"/>
    <s v="  4,913-"/>
    <s v="D"/>
    <n v="1401.55"/>
    <n v="18.123000000000001"/>
  </r>
  <r>
    <s v="F.LLI BERTI SRL"/>
    <s v="40/00000"/>
    <x v="58"/>
    <x v="0"/>
    <x v="0"/>
    <s v="D"/>
    <n v="2087.02"/>
    <s v="D"/>
    <n v="965.21"/>
    <s v="116,224"/>
    <s v="D"/>
    <n v="1290.75"/>
    <n v="-25.22"/>
  </r>
  <r>
    <s v="F.LLI BERTI SRL"/>
    <s v="48/05/015"/>
    <x v="59"/>
    <x v="0"/>
    <x v="0"/>
    <s v="D"/>
    <n v="239.46"/>
    <m/>
    <n v="0"/>
    <s v="100,000"/>
    <m/>
    <n v="0"/>
    <m/>
  </r>
  <r>
    <s v="F.LLI BERTI SRL"/>
    <s v="48/05/040"/>
    <x v="60"/>
    <x v="0"/>
    <x v="0"/>
    <s v="D"/>
    <n v="32527"/>
    <s v="D"/>
    <n v="29576"/>
    <s v="  9,977"/>
    <s v="D"/>
    <n v="22274.12"/>
    <n v="32.780999999999999"/>
  </r>
  <r>
    <s v="F.LLI BERTI SRL"/>
    <s v="48/05/000"/>
    <x v="61"/>
    <x v="0"/>
    <x v="0"/>
    <s v="D"/>
    <n v="32766.46"/>
    <s v="D"/>
    <n v="29576"/>
    <s v=" 10,787"/>
    <s v="D"/>
    <n v="22274.12"/>
    <n v="32.780999999999999"/>
  </r>
  <r>
    <s v="F.LLI BERTI SRL"/>
    <s v="48/00/000"/>
    <x v="61"/>
    <x v="0"/>
    <x v="0"/>
    <s v="D"/>
    <n v="32766.46"/>
    <s v="D"/>
    <n v="29576"/>
    <s v=" 10,787"/>
    <s v="D"/>
    <n v="22274.12"/>
    <n v="32.780999999999999"/>
  </r>
  <r>
    <s v="F.LLI BERTI SRL"/>
    <s v="04/05/005"/>
    <x v="62"/>
    <x v="0"/>
    <x v="0"/>
    <s v="A"/>
    <n v="2800"/>
    <s v="A"/>
    <n v="2800"/>
    <m/>
    <s v="A"/>
    <n v="2800"/>
    <m/>
  </r>
  <r>
    <s v="F.LLI BERTI SRL"/>
    <s v="04/05/000"/>
    <x v="63"/>
    <x v="0"/>
    <x v="0"/>
    <s v="A"/>
    <n v="2800"/>
    <s v="A"/>
    <n v="2800"/>
    <m/>
    <s v="A"/>
    <n v="2800"/>
    <m/>
  </r>
  <r>
    <s v="F.LLI BERTI SRL"/>
    <s v="04/00/000"/>
    <x v="64"/>
    <x v="0"/>
    <x v="0"/>
    <s v="A"/>
    <n v="2800"/>
    <s v="A"/>
    <n v="2800"/>
    <m/>
    <s v="A"/>
    <n v="2800"/>
    <m/>
  </r>
  <r>
    <s v="F.LLI BERTI SRL"/>
    <s v="07/05/020"/>
    <x v="65"/>
    <x v="0"/>
    <x v="0"/>
    <s v="A"/>
    <n v="346.75"/>
    <s v="A"/>
    <n v="346.75"/>
    <m/>
    <s v="A"/>
    <n v="346.75"/>
    <m/>
  </r>
  <r>
    <s v="F.LLI BERTI SRL"/>
    <s v="07/05/000"/>
    <x v="66"/>
    <x v="0"/>
    <x v="0"/>
    <s v="A"/>
    <n v="346.75"/>
    <s v="A"/>
    <n v="346.75"/>
    <m/>
    <s v="A"/>
    <n v="346.75"/>
    <m/>
  </r>
  <r>
    <s v="F.LLI BERTI SRL"/>
    <s v="07/10/005"/>
    <x v="67"/>
    <x v="0"/>
    <x v="0"/>
    <s v="A"/>
    <n v="6087.15"/>
    <s v="A"/>
    <n v="8522.01"/>
    <s v=" 28,571-"/>
    <s v="A"/>
    <n v="10956.87"/>
    <n v="-22.222000000000001"/>
  </r>
  <r>
    <s v="F.LLI BERTI SRL"/>
    <s v="07/10/015"/>
    <x v="68"/>
    <x v="0"/>
    <x v="0"/>
    <s v="A"/>
    <n v="4050"/>
    <s v="A"/>
    <n v="4879.96"/>
    <s v=" 17,007-"/>
    <s v="A"/>
    <n v="6539.89"/>
    <n v="-25.381"/>
  </r>
  <r>
    <s v="F.LLI BERTI SRL"/>
    <s v="07/10/000"/>
    <x v="69"/>
    <x v="0"/>
    <x v="0"/>
    <s v="A"/>
    <n v="10137.15"/>
    <s v="A"/>
    <n v="13401.97"/>
    <s v=" 24,360-"/>
    <s v="A"/>
    <n v="17496.759999999998"/>
    <n v="-23.402999999999999"/>
  </r>
  <r>
    <s v="F.LLI BERTI SRL"/>
    <s v="07/15/005"/>
    <x v="70"/>
    <x v="0"/>
    <x v="0"/>
    <s v="A"/>
    <n v="5030.3999999999996"/>
    <s v="A"/>
    <n v="5030.3999999999996"/>
    <m/>
    <s v="A"/>
    <n v="5030.3999999999996"/>
    <m/>
  </r>
  <r>
    <s v="F.LLI BERTI SRL"/>
    <s v="07/15/010"/>
    <x v="71"/>
    <x v="0"/>
    <x v="0"/>
    <s v="A"/>
    <n v="790"/>
    <s v="A"/>
    <n v="790"/>
    <m/>
    <s v="A"/>
    <n v="790"/>
    <m/>
  </r>
  <r>
    <s v="F.LLI BERTI SRL"/>
    <s v="07/15/000"/>
    <x v="70"/>
    <x v="0"/>
    <x v="0"/>
    <s v="A"/>
    <n v="5820.4"/>
    <s v="A"/>
    <n v="5820.4"/>
    <m/>
    <s v="A"/>
    <n v="5820.4"/>
    <m/>
  </r>
  <r>
    <s v="F.LLI BERTI SRL"/>
    <s v="07/25/015"/>
    <x v="72"/>
    <x v="0"/>
    <x v="0"/>
    <s v="A"/>
    <n v="39974.589999999997"/>
    <s v="A"/>
    <n v="48435.8"/>
    <s v=" 17,468-"/>
    <s v="A"/>
    <n v="77162.11"/>
    <n v="-37.228000000000002"/>
  </r>
  <r>
    <s v="F.LLI BERTI SRL"/>
    <s v="07/25/000"/>
    <x v="73"/>
    <x v="0"/>
    <x v="0"/>
    <s v="A"/>
    <n v="39974.589999999997"/>
    <s v="A"/>
    <n v="48435.8"/>
    <s v=" 17,468-"/>
    <s v="A"/>
    <n v="77162.11"/>
    <n v="-37.228000000000002"/>
  </r>
  <r>
    <s v="F.LLI BERTI SRL"/>
    <s v="07/00/000"/>
    <x v="74"/>
    <x v="0"/>
    <x v="0"/>
    <s v="A"/>
    <n v="56278.89"/>
    <s v="A"/>
    <n v="68004.92"/>
    <s v=" 17,242-"/>
    <s v="A"/>
    <n v="100826.02"/>
    <n v="-32.552"/>
  </r>
  <r>
    <s v="F.LLI BERTI SRL"/>
    <s v="11/05/020"/>
    <x v="17"/>
    <x v="0"/>
    <x v="0"/>
    <s v="A"/>
    <n v="0"/>
    <m/>
    <n v="0"/>
    <m/>
    <s v="A"/>
    <n v="3602.11"/>
    <n v="-100"/>
  </r>
  <r>
    <s v="F.LLI BERTI SRL"/>
    <s v="11/05/000"/>
    <x v="18"/>
    <x v="0"/>
    <x v="0"/>
    <s v="A"/>
    <n v="0"/>
    <s v="A"/>
    <n v="0"/>
    <m/>
    <s v="A"/>
    <n v="3602.11"/>
    <n v="-100"/>
  </r>
  <r>
    <s v="F.LLI BERTI SRL"/>
    <s v="11/00/000"/>
    <x v="21"/>
    <x v="0"/>
    <x v="0"/>
    <s v="A"/>
    <n v="0"/>
    <s v="A"/>
    <n v="0"/>
    <m/>
    <s v="A"/>
    <n v="3602.11"/>
    <n v="-100"/>
  </r>
  <r>
    <s v="F.LLI BERTI SRL"/>
    <s v="18/20/535"/>
    <x v="75"/>
    <x v="0"/>
    <x v="0"/>
    <s v="A"/>
    <n v="8727.8700000000008"/>
    <s v="A"/>
    <n v="10041.030000000001"/>
    <s v=" 13,077-"/>
    <s v="A"/>
    <n v="0"/>
    <n v="100"/>
  </r>
  <r>
    <s v="F.LLI BERTI SRL"/>
    <s v="18/20/000"/>
    <x v="33"/>
    <x v="0"/>
    <x v="0"/>
    <s v="A"/>
    <n v="8727.8700000000008"/>
    <s v="A"/>
    <n v="10041.030000000001"/>
    <s v=" 13,077-"/>
    <s v="A"/>
    <n v="0"/>
    <n v="100"/>
  </r>
  <r>
    <s v="F.LLI BERTI SRL"/>
    <s v="18/00/000"/>
    <x v="49"/>
    <x v="0"/>
    <x v="0"/>
    <s v="A"/>
    <n v="8727.8700000000008"/>
    <s v="A"/>
    <n v="10041.030000000001"/>
    <s v=" 13,077-"/>
    <s v="A"/>
    <n v="0"/>
    <n v="100"/>
  </r>
  <r>
    <s v="F.LLI BERTI SRL"/>
    <s v="24/05/505"/>
    <x v="50"/>
    <x v="0"/>
    <x v="0"/>
    <s v="A"/>
    <n v="0"/>
    <m/>
    <n v="0"/>
    <m/>
    <s v="A"/>
    <n v="67759.06"/>
    <n v="-100"/>
  </r>
  <r>
    <s v="F.LLI BERTI SRL"/>
    <s v="24/05/506"/>
    <x v="76"/>
    <x v="0"/>
    <x v="0"/>
    <s v="A"/>
    <n v="124.5"/>
    <s v="A"/>
    <n v="124.5"/>
    <m/>
    <s v="A"/>
    <n v="124.5"/>
    <m/>
  </r>
  <r>
    <s v="F.LLI BERTI SRL"/>
    <s v="24/05/510"/>
    <x v="51"/>
    <x v="0"/>
    <x v="0"/>
    <s v="A"/>
    <n v="174.42"/>
    <m/>
    <n v="0"/>
    <s v="100,000"/>
    <s v="A"/>
    <n v="0"/>
    <m/>
  </r>
  <r>
    <s v="F.LLI BERTI SRL"/>
    <s v="24/05/000"/>
    <x v="52"/>
    <x v="0"/>
    <x v="0"/>
    <s v="A"/>
    <n v="298.92"/>
    <s v="A"/>
    <n v="124.5"/>
    <s v="140,096"/>
    <s v="A"/>
    <n v="67883.56"/>
    <n v="-99.816000000000003"/>
  </r>
  <r>
    <s v="F.LLI BERTI SRL"/>
    <s v="24/10/005"/>
    <x v="77"/>
    <x v="0"/>
    <x v="0"/>
    <s v="A"/>
    <n v="0"/>
    <s v="A"/>
    <n v="0"/>
    <m/>
    <s v="A"/>
    <n v="25488.85"/>
    <n v="-100"/>
  </r>
  <r>
    <s v="F.LLI BERTI SRL"/>
    <s v="24/10/000"/>
    <x v="78"/>
    <x v="0"/>
    <x v="0"/>
    <s v="A"/>
    <n v="0"/>
    <s v="A"/>
    <n v="0"/>
    <m/>
    <s v="A"/>
    <n v="25488.85"/>
    <n v="-100"/>
  </r>
  <r>
    <s v="F.LLI BERTI SRL"/>
    <s v="24/00/000"/>
    <x v="55"/>
    <x v="0"/>
    <x v="0"/>
    <s v="A"/>
    <n v="298.92"/>
    <s v="A"/>
    <n v="124.5"/>
    <s v="140,096"/>
    <s v="A"/>
    <n v="93372.41"/>
    <n v="-99.866"/>
  </r>
  <r>
    <s v="F.LLI BERTI SRL"/>
    <s v="28/05/005"/>
    <x v="79"/>
    <x v="0"/>
    <x v="0"/>
    <s v="A"/>
    <n v="20000"/>
    <s v="A"/>
    <n v="20000"/>
    <m/>
    <s v="A"/>
    <n v="20000"/>
    <m/>
  </r>
  <r>
    <s v="F.LLI BERTI SRL"/>
    <s v="28/05/000"/>
    <x v="80"/>
    <x v="0"/>
    <x v="0"/>
    <s v="A"/>
    <n v="20000"/>
    <s v="A"/>
    <n v="20000"/>
    <m/>
    <s v="A"/>
    <n v="20000"/>
    <m/>
  </r>
  <r>
    <s v="F.LLI BERTI SRL"/>
    <s v="28/20/501"/>
    <x v="81"/>
    <x v="0"/>
    <x v="0"/>
    <s v="A"/>
    <n v="6743.12"/>
    <s v="A"/>
    <n v="6743.12"/>
    <m/>
    <s v="A"/>
    <n v="6743.12"/>
    <m/>
  </r>
  <r>
    <s v="F.LLI BERTI SRL"/>
    <s v="28/20/000"/>
    <x v="82"/>
    <x v="0"/>
    <x v="0"/>
    <s v="A"/>
    <n v="6743.12"/>
    <s v="A"/>
    <n v="6743.12"/>
    <m/>
    <s v="A"/>
    <n v="6743.12"/>
    <m/>
  </r>
  <r>
    <s v="F.LLI BERTI SRL"/>
    <s v="28/35/517"/>
    <x v="83"/>
    <x v="0"/>
    <x v="0"/>
    <s v="A"/>
    <n v="374064.14"/>
    <s v="A"/>
    <n v="517442.77"/>
    <s v=" 27,709-"/>
    <s v="A"/>
    <n v="697723.89"/>
    <n v="-25.838000000000001"/>
  </r>
  <r>
    <s v="F.LLI BERTI SRL"/>
    <s v="28/35/000"/>
    <x v="84"/>
    <x v="0"/>
    <x v="0"/>
    <s v="A"/>
    <n v="374064.14"/>
    <s v="A"/>
    <n v="517442.77"/>
    <s v=" 27,709-"/>
    <s v="A"/>
    <n v="697723.89"/>
    <n v="-25.838000000000001"/>
  </r>
  <r>
    <s v="F.LLI BERTI SRL"/>
    <s v="28/00/000"/>
    <x v="85"/>
    <x v="0"/>
    <x v="0"/>
    <s v="A"/>
    <n v="400807.26"/>
    <s v="A"/>
    <n v="544185.89"/>
    <s v=" 26,347-"/>
    <s v="A"/>
    <n v="724467.01"/>
    <n v="-24.884"/>
  </r>
  <r>
    <s v="F.LLI BERTI SRL"/>
    <s v="31/05/005"/>
    <x v="86"/>
    <x v="0"/>
    <x v="0"/>
    <s v="A"/>
    <n v="22254.93"/>
    <s v="A"/>
    <n v="24716.6"/>
    <s v="  9,959-"/>
    <s v="A"/>
    <n v="24681.75"/>
    <n v="0.14099999999999999"/>
  </r>
  <r>
    <s v="F.LLI BERTI SRL"/>
    <s v="31/05/000"/>
    <x v="87"/>
    <x v="0"/>
    <x v="0"/>
    <s v="A"/>
    <n v="22254.93"/>
    <s v="A"/>
    <n v="24716.6"/>
    <s v="  9,959-"/>
    <s v="A"/>
    <n v="24681.75"/>
    <n v="0.14099999999999999"/>
  </r>
  <r>
    <s v="F.LLI BERTI SRL"/>
    <s v="31/00/000"/>
    <x v="87"/>
    <x v="0"/>
    <x v="0"/>
    <s v="A"/>
    <n v="22254.93"/>
    <s v="A"/>
    <n v="24716.6"/>
    <s v="  9,959-"/>
    <s v="A"/>
    <n v="24681.75"/>
    <n v="0.14099999999999999"/>
  </r>
  <r>
    <s v="F.LLI BERTI SRL"/>
    <s v="34/05/501"/>
    <x v="88"/>
    <x v="0"/>
    <x v="0"/>
    <s v="A"/>
    <n v="77848.08"/>
    <s v="A"/>
    <n v="77848.08"/>
    <m/>
    <s v="A"/>
    <n v="40705.410000000003"/>
    <n v="91.247"/>
  </r>
  <r>
    <s v="F.LLI BERTI SRL"/>
    <s v="34/05/502"/>
    <x v="89"/>
    <x v="0"/>
    <x v="0"/>
    <s v="A"/>
    <n v="50203.360000000001"/>
    <s v="A"/>
    <n v="0"/>
    <s v="100,000"/>
    <s v="A"/>
    <n v="0"/>
    <m/>
  </r>
  <r>
    <s v="F.LLI BERTI SRL"/>
    <s v="34/05/507"/>
    <x v="90"/>
    <x v="0"/>
    <x v="0"/>
    <s v="A"/>
    <n v="8472.82"/>
    <s v="A"/>
    <n v="8472.82"/>
    <m/>
    <s v="A"/>
    <n v="4252.3500000000004"/>
    <n v="99.25"/>
  </r>
  <r>
    <s v="F.LLI BERTI SRL"/>
    <s v="34/05/508"/>
    <x v="91"/>
    <x v="0"/>
    <x v="0"/>
    <s v="A"/>
    <n v="0"/>
    <s v="A"/>
    <n v="25092.18"/>
    <s v="100,000-"/>
    <s v="A"/>
    <n v="6.49"/>
    <s v="***.000"/>
  </r>
  <r>
    <s v="F.LLI BERTI SRL"/>
    <s v="34/05/525"/>
    <x v="92"/>
    <x v="0"/>
    <x v="0"/>
    <s v="A"/>
    <n v="6262.47"/>
    <s v="A"/>
    <n v="0"/>
    <s v="100,000"/>
    <s v="A"/>
    <n v="0"/>
    <m/>
  </r>
  <r>
    <s v="F.LLI BERTI SRL"/>
    <s v="34/05/527"/>
    <x v="93"/>
    <x v="0"/>
    <x v="0"/>
    <s v="A"/>
    <n v="22552.83"/>
    <s v="A"/>
    <n v="0"/>
    <s v="100,000"/>
    <s v="A"/>
    <n v="0"/>
    <m/>
  </r>
  <r>
    <s v="F.LLI BERTI SRL"/>
    <s v="34/05/553"/>
    <x v="94"/>
    <x v="0"/>
    <x v="0"/>
    <s v="A"/>
    <n v="0"/>
    <s v="A"/>
    <n v="22889.09"/>
    <s v="100,000-"/>
    <s v="A"/>
    <n v="19003.439999999999"/>
    <n v="20.446999999999999"/>
  </r>
  <r>
    <s v="F.LLI BERTI SRL"/>
    <s v="34/05/554"/>
    <x v="95"/>
    <x v="0"/>
    <x v="0"/>
    <s v="A"/>
    <n v="0"/>
    <s v="A"/>
    <n v="5565.2"/>
    <s v="100,000-"/>
    <s v="A"/>
    <n v="0"/>
    <n v="100"/>
  </r>
  <r>
    <s v="F.LLI BERTI SRL"/>
    <s v="34/05/555"/>
    <x v="96"/>
    <x v="0"/>
    <x v="0"/>
    <s v="A"/>
    <n v="0"/>
    <s v="A"/>
    <n v="0"/>
    <m/>
    <s v="A"/>
    <n v="35000"/>
    <n v="-100"/>
  </r>
  <r>
    <s v="F.LLI BERTI SRL"/>
    <s v="34/05/000"/>
    <x v="97"/>
    <x v="0"/>
    <x v="0"/>
    <s v="A"/>
    <n v="165339.56"/>
    <s v="A"/>
    <n v="139867.37"/>
    <s v=" 18,211"/>
    <s v="A"/>
    <n v="98967.69"/>
    <n v="41.326000000000001"/>
  </r>
  <r>
    <s v="F.LLI BERTI SRL"/>
    <s v="34/00/000"/>
    <x v="97"/>
    <x v="0"/>
    <x v="0"/>
    <s v="A"/>
    <n v="165339.56"/>
    <s v="A"/>
    <n v="139867.37"/>
    <s v=" 18,211"/>
    <s v="A"/>
    <n v="98967.69"/>
    <n v="41.326000000000001"/>
  </r>
  <r>
    <s v="F.LLI BERTI SRL"/>
    <s v="36/05/502"/>
    <x v="98"/>
    <x v="0"/>
    <x v="0"/>
    <s v="A"/>
    <n v="2762.32"/>
    <s v="A"/>
    <n v="4495.97"/>
    <s v=" 38,560-"/>
    <s v="A"/>
    <n v="4495.97"/>
    <m/>
  </r>
  <r>
    <s v="F.LLI BERTI SRL"/>
    <s v="36/05/000"/>
    <x v="99"/>
    <x v="0"/>
    <x v="0"/>
    <s v="A"/>
    <n v="2762.32"/>
    <s v="A"/>
    <n v="4495.97"/>
    <s v=" 38,560-"/>
    <s v="A"/>
    <n v="4495.97"/>
    <m/>
  </r>
  <r>
    <s v="F.LLI BERTI SRL"/>
    <s v="36/00/000"/>
    <x v="99"/>
    <x v="0"/>
    <x v="0"/>
    <s v="A"/>
    <n v="2762.32"/>
    <s v="A"/>
    <n v="4495.97"/>
    <s v=" 38,560-"/>
    <s v="A"/>
    <n v="4495.97"/>
    <m/>
  </r>
  <r>
    <s v="F.LLI BERTI SRL"/>
    <s v="38/05/005"/>
    <x v="100"/>
    <x v="0"/>
    <x v="0"/>
    <s v="A"/>
    <n v="75000"/>
    <s v="A"/>
    <n v="70500"/>
    <s v="  6,382"/>
    <s v="A"/>
    <n v="25450"/>
    <n v="177.01300000000001"/>
  </r>
  <r>
    <s v="F.LLI BERTI SRL"/>
    <s v="38/05/505"/>
    <x v="101"/>
    <x v="0"/>
    <x v="0"/>
    <s v="A"/>
    <n v="40000"/>
    <s v="A"/>
    <n v="0"/>
    <s v="100,000"/>
    <s v="A"/>
    <n v="0"/>
    <m/>
  </r>
  <r>
    <s v="F.LLI BERTI SRL"/>
    <s v="38/05/000"/>
    <x v="102"/>
    <x v="0"/>
    <x v="0"/>
    <s v="A"/>
    <n v="115000"/>
    <s v="A"/>
    <n v="70500"/>
    <s v=" 63,120"/>
    <s v="A"/>
    <n v="25450"/>
    <n v="177.01300000000001"/>
  </r>
  <r>
    <s v="F.LLI BERTI SRL"/>
    <s v="38/00/000"/>
    <x v="102"/>
    <x v="0"/>
    <x v="0"/>
    <s v="A"/>
    <n v="115000"/>
    <s v="A"/>
    <n v="70500"/>
    <s v=" 63,120"/>
    <s v="A"/>
    <n v="25450"/>
    <n v="177.01300000000001"/>
  </r>
  <r>
    <s v="F.LLI BERTI SRL"/>
    <s v="40/00000"/>
    <x v="58"/>
    <x v="0"/>
    <x v="0"/>
    <s v="A"/>
    <n v="120392.23"/>
    <s v="A"/>
    <n v="52662.400000000001"/>
    <s v="128,611"/>
    <s v="A"/>
    <n v="169220.27"/>
    <n v="-68.879000000000005"/>
  </r>
  <r>
    <s v="F.LLI BERTI SRL"/>
    <s v="41/05/005"/>
    <x v="103"/>
    <x v="0"/>
    <x v="0"/>
    <s v="A"/>
    <n v="9251.4500000000007"/>
    <s v="A"/>
    <n v="1967.14"/>
    <s v="370,299"/>
    <s v="A"/>
    <n v="582.47"/>
    <n v="237.72300000000001"/>
  </r>
  <r>
    <s v="F.LLI BERTI SRL"/>
    <s v="41/05/501"/>
    <x v="104"/>
    <x v="0"/>
    <x v="0"/>
    <s v="A"/>
    <n v="179800"/>
    <s v="A"/>
    <n v="197200"/>
    <s v="  8,823-"/>
    <s v="A"/>
    <n v="153700"/>
    <n v="28.300999999999998"/>
  </r>
  <r>
    <s v="F.LLI BERTI SRL"/>
    <s v="41/05/000"/>
    <x v="105"/>
    <x v="0"/>
    <x v="0"/>
    <s v="A"/>
    <n v="189051.45"/>
    <s v="A"/>
    <n v="199167.14"/>
    <s v="  5,078-"/>
    <s v="A"/>
    <n v="154282.47"/>
    <n v="29.091999999999999"/>
  </r>
  <r>
    <s v="F.LLI BERTI SRL"/>
    <s v="41/00/000"/>
    <x v="105"/>
    <x v="0"/>
    <x v="0"/>
    <s v="A"/>
    <n v="189051.45"/>
    <s v="A"/>
    <n v="199167.14"/>
    <s v="  5,078-"/>
    <s v="A"/>
    <n v="154282.47"/>
    <n v="29.091999999999999"/>
  </r>
  <r>
    <s v="F.LLI BERTI SRL"/>
    <s v="48/05/015"/>
    <x v="59"/>
    <x v="0"/>
    <x v="0"/>
    <s v="A"/>
    <n v="0"/>
    <s v="A"/>
    <n v="21.57"/>
    <s v="100,000-"/>
    <s v="A"/>
    <n v="87.46"/>
    <n v="-75.337000000000003"/>
  </r>
  <r>
    <s v="F.LLI BERTI SRL"/>
    <s v="48/05/080"/>
    <x v="106"/>
    <x v="0"/>
    <x v="0"/>
    <s v="A"/>
    <n v="741.65"/>
    <s v="A"/>
    <n v="672.46"/>
    <s v=" 10,289"/>
    <s v="A"/>
    <n v="569.41"/>
    <n v="18.097000000000001"/>
  </r>
  <r>
    <s v="F.LLI BERTI SRL"/>
    <s v="48/05/105"/>
    <x v="107"/>
    <x v="0"/>
    <x v="0"/>
    <s v="A"/>
    <n v="0"/>
    <s v="A"/>
    <n v="0"/>
    <m/>
    <s v="A"/>
    <n v="65.53"/>
    <n v="-100"/>
  </r>
  <r>
    <s v="F.LLI BERTI SRL"/>
    <s v="48/05/110"/>
    <x v="108"/>
    <x v="0"/>
    <x v="0"/>
    <s v="A"/>
    <n v="0"/>
    <s v="A"/>
    <n v="0"/>
    <m/>
    <s v="A"/>
    <n v="8.08"/>
    <n v="-100"/>
  </r>
  <r>
    <s v="F.LLI BERTI SRL"/>
    <s v="48/05/000"/>
    <x v="61"/>
    <x v="0"/>
    <x v="0"/>
    <s v="A"/>
    <n v="741.65"/>
    <s v="A"/>
    <n v="694.03"/>
    <s v="  6,861"/>
    <s v="A"/>
    <n v="730.48"/>
    <n v="-4.9889999999999999"/>
  </r>
  <r>
    <s v="F.LLI BERTI SRL"/>
    <s v="48/00/000"/>
    <x v="61"/>
    <x v="0"/>
    <x v="0"/>
    <s v="A"/>
    <n v="741.65"/>
    <s v="A"/>
    <n v="694.03"/>
    <s v="  6,861"/>
    <s v="A"/>
    <n v="730.48"/>
    <n v="-4.9889999999999999"/>
  </r>
  <r>
    <s v="F.LLI BERTI SRL"/>
    <s v="50/05/005"/>
    <x v="109"/>
    <x v="0"/>
    <x v="0"/>
    <s v="A"/>
    <n v="841"/>
    <s v="A"/>
    <n v="814"/>
    <s v="  3,316"/>
    <s v="A"/>
    <n v="123.14"/>
    <n v="561.03599999999994"/>
  </r>
  <r>
    <s v="F.LLI BERTI SRL"/>
    <s v="50/05/020"/>
    <x v="110"/>
    <x v="0"/>
    <x v="0"/>
    <s v="A"/>
    <n v="0"/>
    <s v="A"/>
    <n v="94.49"/>
    <s v="100,000-"/>
    <s v="A"/>
    <n v="0"/>
    <n v="100"/>
  </r>
  <r>
    <s v="F.LLI BERTI SRL"/>
    <s v="50/05/035"/>
    <x v="111"/>
    <x v="0"/>
    <x v="0"/>
    <s v="A"/>
    <n v="680.19"/>
    <s v="A"/>
    <n v="488.46"/>
    <s v=" 39,251"/>
    <s v="A"/>
    <n v="1346.58"/>
    <n v="-63.725000000000001"/>
  </r>
  <r>
    <s v="F.LLI BERTI SRL"/>
    <s v="50/05/000"/>
    <x v="112"/>
    <x v="0"/>
    <x v="0"/>
    <s v="A"/>
    <n v="1521.19"/>
    <s v="A"/>
    <n v="1396.95"/>
    <s v="  8,893"/>
    <s v="A"/>
    <n v="1469.72"/>
    <n v="-4.9509999999999996"/>
  </r>
  <r>
    <s v="F.LLI BERTI SRL"/>
    <s v="50/00/000"/>
    <x v="112"/>
    <x v="0"/>
    <x v="0"/>
    <s v="A"/>
    <n v="1521.19"/>
    <s v="A"/>
    <n v="1396.95"/>
    <s v="  8,893"/>
    <s v="A"/>
    <n v="1469.72"/>
    <n v="-4.9509999999999996"/>
  </r>
  <r>
    <s v="F.LLI BERTI SRL"/>
    <s v="52/05/055"/>
    <x v="113"/>
    <x v="0"/>
    <x v="0"/>
    <s v="A"/>
    <n v="1784"/>
    <s v="A"/>
    <n v="1944"/>
    <s v="  8,230-"/>
    <s v="A"/>
    <n v="602.87"/>
    <n v="222.45699999999999"/>
  </r>
  <r>
    <s v="F.LLI BERTI SRL"/>
    <s v="52/05/000"/>
    <x v="114"/>
    <x v="0"/>
    <x v="0"/>
    <s v="A"/>
    <n v="1784"/>
    <s v="A"/>
    <n v="1944"/>
    <s v="  8,230-"/>
    <s v="A"/>
    <n v="602.87"/>
    <n v="222.45699999999999"/>
  </r>
  <r>
    <s v="F.LLI BERTI SRL"/>
    <s v="52/00/000"/>
    <x v="114"/>
    <x v="0"/>
    <x v="0"/>
    <s v="A"/>
    <n v="1784"/>
    <s v="A"/>
    <n v="1944"/>
    <s v="  8,230-"/>
    <s v="A"/>
    <n v="602.87"/>
    <n v="222.45699999999999"/>
  </r>
  <r>
    <s v="F.LLI BERTI SRL"/>
    <s v="54/05/005"/>
    <x v="115"/>
    <x v="0"/>
    <x v="0"/>
    <s v="A"/>
    <n v="271.73"/>
    <s v="A"/>
    <n v="139.62"/>
    <s v=" 94,621"/>
    <s v="A"/>
    <n v="80.8"/>
    <n v="72.796999999999997"/>
  </r>
  <r>
    <s v="F.LLI BERTI SRL"/>
    <s v="54/05/000"/>
    <x v="115"/>
    <x v="0"/>
    <x v="0"/>
    <s v="A"/>
    <n v="271.73"/>
    <s v="A"/>
    <n v="139.62"/>
    <s v=" 94,621"/>
    <s v="A"/>
    <n v="80.8"/>
    <n v="72.796999999999997"/>
  </r>
  <r>
    <s v="F.LLI BERTI SRL"/>
    <s v="54/10/005"/>
    <x v="116"/>
    <x v="0"/>
    <x v="0"/>
    <s v="A"/>
    <n v="43674.53"/>
    <s v="A"/>
    <n v="33951.050000000003"/>
    <s v=" 28,639"/>
    <s v="A"/>
    <n v="0"/>
    <n v="100"/>
  </r>
  <r>
    <s v="F.LLI BERTI SRL"/>
    <s v="54/10/000"/>
    <x v="116"/>
    <x v="0"/>
    <x v="0"/>
    <s v="A"/>
    <n v="43674.53"/>
    <s v="A"/>
    <n v="33951.050000000003"/>
    <s v=" 28,639"/>
    <s v="A"/>
    <n v="0"/>
    <n v="100"/>
  </r>
  <r>
    <s v="F.LLI BERTI SRL"/>
    <s v="54/00/000"/>
    <x v="117"/>
    <x v="0"/>
    <x v="0"/>
    <s v="A"/>
    <n v="43946.26"/>
    <s v="A"/>
    <n v="34090.67"/>
    <s v=" 28,909"/>
    <s v="A"/>
    <n v="80.8"/>
    <s v="***.000"/>
  </r>
  <r>
    <s v="F.LLI BERTI SRL"/>
    <s v="61/05/005"/>
    <x v="118"/>
    <x v="1"/>
    <x v="1"/>
    <s v="D"/>
    <n v="21612.28"/>
    <s v="D"/>
    <n v="116575"/>
    <s v=" 81,460-"/>
    <s v="D"/>
    <n v="11275"/>
    <n v="933.92399999999998"/>
  </r>
  <r>
    <s v="F.LLI BERTI SRL"/>
    <s v="61/05/000"/>
    <x v="119"/>
    <x v="0"/>
    <x v="0"/>
    <s v="D"/>
    <n v="21612.28"/>
    <s v="D"/>
    <n v="116575"/>
    <s v=" 81,460-"/>
    <s v="D"/>
    <n v="11275"/>
    <n v="933.92399999999998"/>
  </r>
  <r>
    <s v="F.LLI BERTI SRL"/>
    <s v="61/00/000"/>
    <x v="119"/>
    <x v="0"/>
    <x v="0"/>
    <s v="D"/>
    <n v="21612.28"/>
    <s v="D"/>
    <n v="116575"/>
    <s v=" 81,460-"/>
    <s v="D"/>
    <n v="11275"/>
    <n v="933.92399999999998"/>
  </r>
  <r>
    <s v="F.LLI BERTI SRL"/>
    <s v="66/05/006"/>
    <x v="120"/>
    <x v="2"/>
    <x v="2"/>
    <s v="D"/>
    <n v="81098.27"/>
    <s v="D"/>
    <n v="53289.9"/>
    <s v=" 52,183"/>
    <s v="D"/>
    <n v="60321.45"/>
    <n v="-11.656000000000001"/>
  </r>
  <r>
    <s v="F.LLI BERTI SRL"/>
    <s v="66/05/000"/>
    <x v="121"/>
    <x v="0"/>
    <x v="0"/>
    <s v="D"/>
    <n v="81098.27"/>
    <s v="D"/>
    <n v="53289.9"/>
    <s v=" 52,183"/>
    <s v="D"/>
    <n v="60321.45"/>
    <n v="-11.656000000000001"/>
  </r>
  <r>
    <s v="F.LLI BERTI SRL"/>
    <s v="66/10/005"/>
    <x v="122"/>
    <x v="2"/>
    <x v="2"/>
    <s v="D"/>
    <n v="2439.62"/>
    <s v="D"/>
    <n v="8028.19"/>
    <s v=" 69,611-"/>
    <s v="D"/>
    <n v="3373.15"/>
    <n v="138.00200000000001"/>
  </r>
  <r>
    <s v="F.LLI BERTI SRL"/>
    <s v="66/10/000"/>
    <x v="123"/>
    <x v="3"/>
    <x v="3"/>
    <s v="D"/>
    <n v="2439.62"/>
    <s v="D"/>
    <n v="8028.19"/>
    <s v=" 69,611-"/>
    <s v="D"/>
    <n v="3373.15"/>
    <n v="138.00200000000001"/>
  </r>
  <r>
    <s v="F.LLI BERTI SRL"/>
    <s v="66/20/005"/>
    <x v="124"/>
    <x v="2"/>
    <x v="2"/>
    <s v="D"/>
    <n v="1024.4100000000001"/>
    <s v="D"/>
    <n v="1978.02"/>
    <s v=" 48,210-"/>
    <s v="D"/>
    <n v="4203.2299999999996"/>
    <n v="-52.94"/>
  </r>
  <r>
    <s v="F.LLI BERTI SRL"/>
    <s v="66/20/000"/>
    <x v="125"/>
    <x v="3"/>
    <x v="3"/>
    <s v="D"/>
    <n v="1024.4100000000001"/>
    <s v="D"/>
    <n v="1978.02"/>
    <s v=" 48,210-"/>
    <s v="D"/>
    <n v="4203.2299999999996"/>
    <n v="-52.94"/>
  </r>
  <r>
    <s v="F.LLI BERTI SRL"/>
    <s v="66/25/006"/>
    <x v="126"/>
    <x v="2"/>
    <x v="2"/>
    <s v="D"/>
    <n v="0"/>
    <m/>
    <n v="0"/>
    <m/>
    <s v="D"/>
    <n v="800"/>
    <n v="-100"/>
  </r>
  <r>
    <s v="F.LLI BERTI SRL"/>
    <s v="66/25/504"/>
    <x v="127"/>
    <x v="2"/>
    <x v="2"/>
    <s v="D"/>
    <n v="372"/>
    <s v="D"/>
    <n v="207"/>
    <s v=" 79,710"/>
    <m/>
    <n v="0"/>
    <n v="100"/>
  </r>
  <r>
    <s v="F.LLI BERTI SRL"/>
    <s v="66/25/000"/>
    <x v="128"/>
    <x v="0"/>
    <x v="0"/>
    <s v="D"/>
    <n v="372"/>
    <s v="D"/>
    <n v="207"/>
    <s v=" 79,710"/>
    <s v="D"/>
    <n v="800"/>
    <n v="-74.125"/>
  </r>
  <r>
    <s v="F.LLI BERTI SRL"/>
    <s v="66/30/017"/>
    <x v="129"/>
    <x v="4"/>
    <x v="4"/>
    <s v="D"/>
    <n v="108.55"/>
    <m/>
    <n v="0"/>
    <s v="100,000"/>
    <m/>
    <n v="0"/>
    <m/>
  </r>
  <r>
    <s v="F.LLI BERTI SRL"/>
    <s v="66/30/025"/>
    <x v="130"/>
    <x v="4"/>
    <x v="4"/>
    <s v="D"/>
    <n v="0"/>
    <m/>
    <n v="0"/>
    <m/>
    <s v="D"/>
    <n v="91.97"/>
    <n v="-100"/>
  </r>
  <r>
    <s v="F.LLI BERTI SRL"/>
    <s v="66/30/035"/>
    <x v="131"/>
    <x v="4"/>
    <x v="4"/>
    <s v="D"/>
    <n v="6847.36"/>
    <s v="D"/>
    <n v="6739.05"/>
    <s v="  1,607"/>
    <s v="D"/>
    <n v="5109.22"/>
    <n v="31.899000000000001"/>
  </r>
  <r>
    <s v="F.LLI BERTI SRL"/>
    <s v="66/30/045"/>
    <x v="132"/>
    <x v="4"/>
    <x v="4"/>
    <s v="D"/>
    <n v="316.45"/>
    <s v="D"/>
    <n v="290.17"/>
    <s v="  9,056"/>
    <s v="D"/>
    <n v="503.32"/>
    <n v="-42.347999999999999"/>
  </r>
  <r>
    <s v="F.LLI BERTI SRL"/>
    <s v="66/30/055"/>
    <x v="133"/>
    <x v="4"/>
    <x v="4"/>
    <s v="D"/>
    <n v="150.63"/>
    <s v="D"/>
    <n v="203.98"/>
    <s v=" 26,154-"/>
    <s v="D"/>
    <n v="211.39"/>
    <n v="-3.5049999999999999"/>
  </r>
  <r>
    <s v="F.LLI BERTI SRL"/>
    <s v="66/30/000"/>
    <x v="134"/>
    <x v="0"/>
    <x v="0"/>
    <s v="D"/>
    <n v="7422.99"/>
    <s v="D"/>
    <n v="7233.2"/>
    <s v="  2,623"/>
    <s v="D"/>
    <n v="5915.9"/>
    <n v="22.266999999999999"/>
  </r>
  <r>
    <s v="F.LLI BERTI SRL"/>
    <s v="66/00/000"/>
    <x v="135"/>
    <x v="0"/>
    <x v="0"/>
    <s v="D"/>
    <n v="92357.29"/>
    <s v="D"/>
    <n v="70736.31"/>
    <s v=" 30,565"/>
    <s v="D"/>
    <n v="74613.73"/>
    <n v="-5.1959999999999997"/>
  </r>
  <r>
    <s v="F.LLI BERTI SRL"/>
    <s v="68/05/005"/>
    <x v="136"/>
    <x v="2"/>
    <x v="2"/>
    <s v="D"/>
    <n v="110"/>
    <s v="D"/>
    <n v="27.54"/>
    <s v="299,419"/>
    <s v="D"/>
    <n v="200.4"/>
    <n v="-86.257000000000005"/>
  </r>
  <r>
    <s v="F.LLI BERTI SRL"/>
    <s v="68/05/021"/>
    <x v="137"/>
    <x v="2"/>
    <x v="2"/>
    <s v="D"/>
    <n v="70315"/>
    <s v="D"/>
    <n v="110368.4"/>
    <s v=" 36,290-"/>
    <s v="D"/>
    <n v="83661.25"/>
    <n v="31.922000000000001"/>
  </r>
  <r>
    <s v="F.LLI BERTI SRL"/>
    <s v="68/05/055"/>
    <x v="138"/>
    <x v="4"/>
    <x v="4"/>
    <s v="D"/>
    <n v="4334.99"/>
    <s v="D"/>
    <n v="2810.61"/>
    <s v=" 54,236"/>
    <s v="D"/>
    <n v="7804.13"/>
    <n v="-63.984999999999999"/>
  </r>
  <r>
    <s v="F.LLI BERTI SRL"/>
    <s v="68/05/075"/>
    <x v="139"/>
    <x v="4"/>
    <x v="4"/>
    <s v="D"/>
    <n v="1511.85"/>
    <s v="D"/>
    <n v="21587.96"/>
    <s v=" 92,996-"/>
    <m/>
    <n v="0"/>
    <n v="100"/>
  </r>
  <r>
    <s v="F.LLI BERTI SRL"/>
    <s v="68/05/095"/>
    <x v="140"/>
    <x v="4"/>
    <x v="4"/>
    <s v="D"/>
    <n v="289.12"/>
    <s v="D"/>
    <n v="154.59"/>
    <s v=" 87,023"/>
    <s v="D"/>
    <n v="153.01"/>
    <n v="1.032"/>
  </r>
  <r>
    <s v="F.LLI BERTI SRL"/>
    <s v="68/05/110"/>
    <x v="141"/>
    <x v="4"/>
    <x v="4"/>
    <s v="D"/>
    <n v="2869.04"/>
    <s v="D"/>
    <n v="3460.82"/>
    <s v=" 17,099-"/>
    <s v="D"/>
    <n v="3426.98"/>
    <n v="0.98699999999999999"/>
  </r>
  <r>
    <s v="F.LLI BERTI SRL"/>
    <s v="68/05/125"/>
    <x v="142"/>
    <x v="4"/>
    <x v="4"/>
    <s v="D"/>
    <n v="368.46"/>
    <s v="D"/>
    <n v="1498.24"/>
    <s v=" 75,407-"/>
    <s v="D"/>
    <n v="2425.2399999999998"/>
    <n v="-38.222999999999999"/>
  </r>
  <r>
    <s v="F.LLI BERTI SRL"/>
    <s v="68/05/340"/>
    <x v="143"/>
    <x v="4"/>
    <x v="4"/>
    <s v="D"/>
    <n v="430.98"/>
    <m/>
    <n v="0"/>
    <s v="100,000"/>
    <m/>
    <n v="0"/>
    <m/>
  </r>
  <r>
    <s v="F.LLI BERTI SRL"/>
    <s v="68/05/341"/>
    <x v="144"/>
    <x v="4"/>
    <x v="4"/>
    <s v="D"/>
    <n v="2245.3000000000002"/>
    <s v="D"/>
    <n v="146"/>
    <s v="***,000"/>
    <s v="D"/>
    <n v="862.5"/>
    <n v="-83.072000000000003"/>
  </r>
  <r>
    <s v="F.LLI BERTI SRL"/>
    <s v="68/05/345"/>
    <x v="145"/>
    <x v="4"/>
    <x v="4"/>
    <s v="D"/>
    <n v="3674.15"/>
    <s v="D"/>
    <n v="4995.95"/>
    <s v=" 26,457-"/>
    <s v="D"/>
    <n v="2370.5"/>
    <n v="110.755"/>
  </r>
  <r>
    <s v="F.LLI BERTI SRL"/>
    <s v="68/05/355"/>
    <x v="146"/>
    <x v="4"/>
    <x v="4"/>
    <s v="D"/>
    <n v="573.77"/>
    <s v="D"/>
    <n v="513.12"/>
    <s v=" 11,819"/>
    <m/>
    <n v="0"/>
    <n v="100"/>
  </r>
  <r>
    <s v="F.LLI BERTI SRL"/>
    <s v="68/05/365"/>
    <x v="147"/>
    <x v="4"/>
    <x v="4"/>
    <s v="D"/>
    <n v="0"/>
    <s v="D"/>
    <n v="318.5"/>
    <s v="100,000-"/>
    <s v="D"/>
    <n v="519"/>
    <n v="-38.631"/>
  </r>
  <r>
    <s v="F.LLI BERTI SRL"/>
    <s v="68/05/370"/>
    <x v="148"/>
    <x v="4"/>
    <x v="5"/>
    <s v="D"/>
    <n v="263.77"/>
    <s v="D"/>
    <n v="342.63"/>
    <s v=" 23,016-"/>
    <s v="D"/>
    <n v="1684.98"/>
    <n v="-79.665000000000006"/>
  </r>
  <r>
    <s v="F.LLI BERTI SRL"/>
    <s v="68/05/405"/>
    <x v="149"/>
    <x v="2"/>
    <x v="2"/>
    <s v="D"/>
    <n v="0"/>
    <m/>
    <n v="0"/>
    <m/>
    <s v="D"/>
    <n v="88.5"/>
    <n v="-100"/>
  </r>
  <r>
    <s v="F.LLI BERTI SRL"/>
    <s v="68/05/407"/>
    <x v="150"/>
    <x v="4"/>
    <x v="5"/>
    <s v="D"/>
    <n v="53"/>
    <s v="D"/>
    <n v="6.55"/>
    <s v="709,160"/>
    <s v="D"/>
    <n v="13.1"/>
    <n v="-50"/>
  </r>
  <r>
    <s v="F.LLI BERTI SRL"/>
    <s v="68/05/490"/>
    <x v="151"/>
    <x v="4"/>
    <x v="4"/>
    <s v="D"/>
    <n v="484"/>
    <s v="D"/>
    <n v="887"/>
    <s v=" 45,434-"/>
    <s v="D"/>
    <n v="920.11"/>
    <n v="-3.5979999999999999"/>
  </r>
  <r>
    <s v="F.LLI BERTI SRL"/>
    <s v="68/05/570"/>
    <x v="152"/>
    <x v="4"/>
    <x v="4"/>
    <s v="D"/>
    <n v="0"/>
    <s v="D"/>
    <n v="500"/>
    <s v="100,000-"/>
    <s v="D"/>
    <n v="500"/>
    <m/>
  </r>
  <r>
    <s v="F.LLI BERTI SRL"/>
    <s v="68/05/586"/>
    <x v="153"/>
    <x v="4"/>
    <x v="4"/>
    <s v="D"/>
    <n v="6868"/>
    <s v="D"/>
    <n v="7147.55"/>
    <s v="  3,911-"/>
    <s v="D"/>
    <n v="5756.36"/>
    <n v="24.167000000000002"/>
  </r>
  <r>
    <s v="F.LLI BERTI SRL"/>
    <s v="68/05/587"/>
    <x v="154"/>
    <x v="4"/>
    <x v="4"/>
    <s v="D"/>
    <n v="1851.38"/>
    <s v="D"/>
    <n v="1672.2"/>
    <s v=" 10,715"/>
    <s v="D"/>
    <n v="1537.2"/>
    <n v="8.782"/>
  </r>
  <r>
    <s v="F.LLI BERTI SRL"/>
    <s v="68/05/589"/>
    <x v="155"/>
    <x v="4"/>
    <x v="4"/>
    <s v="D"/>
    <n v="1000"/>
    <m/>
    <n v="0"/>
    <s v="100,000"/>
    <m/>
    <n v="0"/>
    <m/>
  </r>
  <r>
    <s v="F.LLI BERTI SRL"/>
    <s v="68/05/602"/>
    <x v="156"/>
    <x v="4"/>
    <x v="5"/>
    <s v="D"/>
    <n v="1000"/>
    <s v="D"/>
    <n v="610"/>
    <s v=" 63,934"/>
    <m/>
    <n v="0"/>
    <n v="100"/>
  </r>
  <r>
    <s v="F.LLI BERTI SRL"/>
    <s v="68/05/607"/>
    <x v="157"/>
    <x v="4"/>
    <x v="4"/>
    <s v="D"/>
    <n v="0"/>
    <s v="D"/>
    <n v="1200"/>
    <s v="100,000-"/>
    <s v="D"/>
    <n v="1228"/>
    <n v="-2.2799999999999998"/>
  </r>
  <r>
    <s v="F.LLI BERTI SRL"/>
    <s v="68/05/636"/>
    <x v="158"/>
    <x v="4"/>
    <x v="4"/>
    <s v="D"/>
    <n v="0"/>
    <m/>
    <n v="0"/>
    <m/>
    <s v="D"/>
    <n v="32"/>
    <n v="-100"/>
  </r>
  <r>
    <s v="F.LLI BERTI SRL"/>
    <s v="68/05/655"/>
    <x v="159"/>
    <x v="4"/>
    <x v="4"/>
    <s v="D"/>
    <n v="212.85"/>
    <s v="D"/>
    <n v="278.76"/>
    <s v=" 23,643-"/>
    <s v="D"/>
    <n v="324"/>
    <n v="-13.962"/>
  </r>
  <r>
    <s v="F.LLI BERTI SRL"/>
    <s v="68/05/657"/>
    <x v="160"/>
    <x v="4"/>
    <x v="4"/>
    <s v="D"/>
    <n v="57.98"/>
    <m/>
    <n v="0"/>
    <s v="100,000"/>
    <m/>
    <n v="0"/>
    <m/>
  </r>
  <r>
    <s v="F.LLI BERTI SRL"/>
    <s v="68/05/762"/>
    <x v="161"/>
    <x v="4"/>
    <x v="4"/>
    <s v="D"/>
    <n v="907.44"/>
    <s v="D"/>
    <n v="746.95"/>
    <s v=" 21,486"/>
    <m/>
    <n v="0"/>
    <n v="100"/>
  </r>
  <r>
    <s v="F.LLI BERTI SRL"/>
    <s v="68/05/000"/>
    <x v="162"/>
    <x v="0"/>
    <x v="0"/>
    <s v="D"/>
    <n v="99421.08"/>
    <s v="D"/>
    <n v="159273.37"/>
    <s v=" 37,578-"/>
    <s v="D"/>
    <n v="113507.26"/>
    <n v="40.319000000000003"/>
  </r>
  <r>
    <s v="F.LLI BERTI SRL"/>
    <s v="68/00/000"/>
    <x v="162"/>
    <x v="0"/>
    <x v="0"/>
    <s v="D"/>
    <n v="99421.08"/>
    <s v="D"/>
    <n v="159273.37"/>
    <s v=" 37,578-"/>
    <s v="D"/>
    <n v="113507.26"/>
    <n v="40.319000000000003"/>
  </r>
  <r>
    <s v="F.LLI BERTI SRL"/>
    <s v="70/05/100"/>
    <x v="163"/>
    <x v="0"/>
    <x v="0"/>
    <s v="D"/>
    <n v="34800"/>
    <s v="D"/>
    <n v="34800"/>
    <m/>
    <s v="D"/>
    <n v="34800"/>
    <m/>
  </r>
  <r>
    <s v="F.LLI BERTI SRL"/>
    <s v="70/05/101"/>
    <x v="164"/>
    <x v="0"/>
    <x v="0"/>
    <s v="D"/>
    <n v="12229.02"/>
    <s v="D"/>
    <n v="5399.51"/>
    <s v="126,483"/>
    <s v="D"/>
    <n v="6133.29"/>
    <n v="-11.962999999999999"/>
  </r>
  <r>
    <s v="F.LLI BERTI SRL"/>
    <s v="70/05/000"/>
    <x v="165"/>
    <x v="4"/>
    <x v="6"/>
    <s v="D"/>
    <n v="47029.02"/>
    <s v="D"/>
    <n v="40199.51"/>
    <s v=" 16,989"/>
    <s v="D"/>
    <n v="40933.29"/>
    <n v="-1.792"/>
  </r>
  <r>
    <s v="F.LLI BERTI SRL"/>
    <s v="70/10/512"/>
    <x v="166"/>
    <x v="0"/>
    <x v="0"/>
    <s v="D"/>
    <n v="679.48"/>
    <m/>
    <n v="0"/>
    <s v="100,000"/>
    <m/>
    <n v="0"/>
    <m/>
  </r>
  <r>
    <s v="F.LLI BERTI SRL"/>
    <s v="70/10/000"/>
    <x v="167"/>
    <x v="4"/>
    <x v="6"/>
    <s v="D"/>
    <n v="679.48"/>
    <m/>
    <n v="0"/>
    <s v="100,000"/>
    <m/>
    <n v="0"/>
    <m/>
  </r>
  <r>
    <s v="F.LLI BERTI SRL"/>
    <s v="70/00/000"/>
    <x v="168"/>
    <x v="0"/>
    <x v="0"/>
    <s v="D"/>
    <n v="47708.5"/>
    <s v="D"/>
    <n v="40199.51"/>
    <s v=" 18,679"/>
    <s v="D"/>
    <n v="40933.29"/>
    <n v="-1.792"/>
  </r>
  <r>
    <s v="F.LLI BERTI SRL"/>
    <s v="72/05/502"/>
    <x v="169"/>
    <x v="4"/>
    <x v="7"/>
    <s v="D"/>
    <n v="28191.37"/>
    <s v="D"/>
    <n v="30825.05"/>
    <s v="  8,543-"/>
    <s v="D"/>
    <n v="26757.7"/>
    <n v="15.2"/>
  </r>
  <r>
    <s v="F.LLI BERTI SRL"/>
    <s v="72/05/000"/>
    <x v="170"/>
    <x v="0"/>
    <x v="0"/>
    <s v="D"/>
    <n v="28191.37"/>
    <s v="D"/>
    <n v="30825.05"/>
    <s v="  8,543-"/>
    <s v="D"/>
    <n v="26757.7"/>
    <n v="15.2"/>
  </r>
  <r>
    <s v="F.LLI BERTI SRL"/>
    <s v="72/15/005"/>
    <x v="171"/>
    <x v="4"/>
    <x v="7"/>
    <s v="D"/>
    <n v="8740.49"/>
    <s v="D"/>
    <n v="8941.26"/>
    <s v="  2,245-"/>
    <s v="D"/>
    <n v="8323.51"/>
    <n v="7.4210000000000003"/>
  </r>
  <r>
    <s v="F.LLI BERTI SRL"/>
    <s v="72/15/025"/>
    <x v="172"/>
    <x v="4"/>
    <x v="7"/>
    <s v="D"/>
    <n v="6259.05"/>
    <s v="D"/>
    <n v="6682.28"/>
    <s v="  6,333-"/>
    <s v="D"/>
    <n v="7019.93"/>
    <n v="-4.8090000000000002"/>
  </r>
  <r>
    <s v="F.LLI BERTI SRL"/>
    <s v="72/15/050"/>
    <x v="173"/>
    <x v="4"/>
    <x v="7"/>
    <s v="D"/>
    <n v="1553.54"/>
    <s v="D"/>
    <n v="1677.13"/>
    <s v="  7,369-"/>
    <s v="D"/>
    <n v="1539.77"/>
    <n v="8.92"/>
  </r>
  <r>
    <s v="F.LLI BERTI SRL"/>
    <s v="72/15/505"/>
    <x v="174"/>
    <x v="4"/>
    <x v="7"/>
    <s v="D"/>
    <n v="137.44999999999999"/>
    <s v="D"/>
    <n v="150.43"/>
    <s v="  8,628-"/>
    <s v="D"/>
    <n v="70.900000000000006"/>
    <n v="112.172"/>
  </r>
  <r>
    <s v="F.LLI BERTI SRL"/>
    <s v="72/15/000"/>
    <x v="175"/>
    <x v="0"/>
    <x v="0"/>
    <s v="D"/>
    <n v="16690.53"/>
    <s v="D"/>
    <n v="17451.099999999999"/>
    <s v="  4,358-"/>
    <s v="D"/>
    <n v="16954.11"/>
    <n v="2.931"/>
  </r>
  <r>
    <s v="F.LLI BERTI SRL"/>
    <s v="72/20/005"/>
    <x v="176"/>
    <x v="4"/>
    <x v="7"/>
    <s v="D"/>
    <n v="2344.1"/>
    <s v="D"/>
    <n v="2549.44"/>
    <s v="  8,054-"/>
    <s v="D"/>
    <n v="111.06"/>
    <s v="***.000"/>
  </r>
  <r>
    <s v="F.LLI BERTI SRL"/>
    <s v="72/20/000"/>
    <x v="177"/>
    <x v="0"/>
    <x v="0"/>
    <s v="D"/>
    <n v="2344.1"/>
    <s v="D"/>
    <n v="2549.44"/>
    <s v="  8,054-"/>
    <s v="D"/>
    <n v="111.06"/>
    <s v="***.000"/>
  </r>
  <r>
    <s v="F.LLI BERTI SRL"/>
    <s v="72/25/010"/>
    <x v="178"/>
    <x v="4"/>
    <x v="7"/>
    <s v="D"/>
    <n v="142"/>
    <s v="D"/>
    <n v="155"/>
    <s v="  8,387-"/>
    <s v="D"/>
    <n v="123.39"/>
    <n v="25.617000000000001"/>
  </r>
  <r>
    <s v="F.LLI BERTI SRL"/>
    <s v="72/25/000"/>
    <x v="179"/>
    <x v="0"/>
    <x v="0"/>
    <s v="D"/>
    <n v="142"/>
    <s v="D"/>
    <n v="155"/>
    <s v="  8,387-"/>
    <s v="D"/>
    <n v="123.39"/>
    <n v="25.617000000000001"/>
  </r>
  <r>
    <s v="F.LLI BERTI SRL"/>
    <s v="72/00/000"/>
    <x v="180"/>
    <x v="0"/>
    <x v="0"/>
    <s v="D"/>
    <n v="47368"/>
    <s v="D"/>
    <n v="50980.59"/>
    <s v="  7,086-"/>
    <s v="D"/>
    <n v="43946.26"/>
    <n v="16.006"/>
  </r>
  <r>
    <s v="F.LLI BERTI SRL"/>
    <s v="75/10/005"/>
    <x v="181"/>
    <x v="4"/>
    <x v="8"/>
    <s v="D"/>
    <n v="2434.86"/>
    <s v="D"/>
    <n v="2434.86"/>
    <m/>
    <s v="D"/>
    <n v="2434.86"/>
    <m/>
  </r>
  <r>
    <s v="F.LLI BERTI SRL"/>
    <s v="75/10/015"/>
    <x v="182"/>
    <x v="4"/>
    <x v="8"/>
    <s v="D"/>
    <n v="51.25"/>
    <s v="D"/>
    <n v="829.96"/>
    <s v=" 93,825-"/>
    <s v="D"/>
    <n v="1659.93"/>
    <n v="-50"/>
  </r>
  <r>
    <s v="F.LLI BERTI SRL"/>
    <s v="75/10/000"/>
    <x v="183"/>
    <x v="0"/>
    <x v="0"/>
    <s v="D"/>
    <n v="2486.11"/>
    <s v="D"/>
    <n v="3264.82"/>
    <s v=" 23,851-"/>
    <s v="D"/>
    <n v="4094.79"/>
    <n v="-20.268000000000001"/>
  </r>
  <r>
    <s v="F.LLI BERTI SRL"/>
    <s v="75/25/015"/>
    <x v="184"/>
    <x v="4"/>
    <x v="8"/>
    <s v="D"/>
    <n v="12909.84"/>
    <s v="D"/>
    <n v="26241.38"/>
    <s v=" 50,803-"/>
    <s v="D"/>
    <n v="28726.31"/>
    <n v="-8.65"/>
  </r>
  <r>
    <s v="F.LLI BERTI SRL"/>
    <s v="75/25/000"/>
    <x v="185"/>
    <x v="0"/>
    <x v="0"/>
    <s v="D"/>
    <n v="12909.84"/>
    <s v="D"/>
    <n v="26241.38"/>
    <s v=" 50,803-"/>
    <s v="D"/>
    <n v="28726.31"/>
    <n v="-8.65"/>
  </r>
  <r>
    <s v="F.LLI BERTI SRL"/>
    <s v="75/00/000"/>
    <x v="186"/>
    <x v="0"/>
    <x v="0"/>
    <s v="D"/>
    <n v="15395.95"/>
    <s v="D"/>
    <n v="29506.2"/>
    <s v=" 47,821-"/>
    <s v="D"/>
    <n v="32821.1"/>
    <n v="-10.099"/>
  </r>
  <r>
    <s v="F.LLI BERTI SRL"/>
    <s v="80/20/005"/>
    <x v="187"/>
    <x v="1"/>
    <x v="1"/>
    <s v="D"/>
    <n v="693.49"/>
    <s v="D"/>
    <n v="645.80999999999995"/>
    <s v="  7,382"/>
    <s v="D"/>
    <n v="7204.22"/>
    <n v="-91.034999999999997"/>
  </r>
  <r>
    <s v="F.LLI BERTI SRL"/>
    <s v="80/20/000"/>
    <x v="188"/>
    <x v="0"/>
    <x v="0"/>
    <s v="D"/>
    <n v="693.49"/>
    <s v="D"/>
    <n v="645.80999999999995"/>
    <s v="  7,382"/>
    <s v="D"/>
    <n v="7204.22"/>
    <n v="-91.034999999999997"/>
  </r>
  <r>
    <s v="F.LLI BERTI SRL"/>
    <s v="80/00/000"/>
    <x v="189"/>
    <x v="0"/>
    <x v="0"/>
    <s v="D"/>
    <n v="693.49"/>
    <s v="D"/>
    <n v="645.80999999999995"/>
    <s v="  7,382"/>
    <s v="D"/>
    <n v="7204.22"/>
    <n v="-91.034999999999997"/>
  </r>
  <r>
    <s v="F.LLI BERTI SRL"/>
    <s v="84/05/005"/>
    <x v="190"/>
    <x v="4"/>
    <x v="5"/>
    <s v="D"/>
    <n v="136"/>
    <s v="D"/>
    <n v="194.9"/>
    <s v=" 30,220-"/>
    <s v="D"/>
    <n v="122"/>
    <n v="59.753999999999998"/>
  </r>
  <r>
    <s v="F.LLI BERTI SRL"/>
    <s v="84/05/035"/>
    <x v="191"/>
    <x v="4"/>
    <x v="5"/>
    <s v="D"/>
    <n v="309.87"/>
    <s v="D"/>
    <n v="309.87"/>
    <m/>
    <s v="D"/>
    <n v="309.87"/>
    <m/>
  </r>
  <r>
    <s v="F.LLI BERTI SRL"/>
    <s v="84/05/040"/>
    <x v="192"/>
    <x v="4"/>
    <x v="5"/>
    <s v="D"/>
    <n v="675.31"/>
    <s v="D"/>
    <n v="130.81"/>
    <s v="416,252"/>
    <s v="D"/>
    <n v="486.59"/>
    <n v="-73.116"/>
  </r>
  <r>
    <s v="F.LLI BERTI SRL"/>
    <s v="84/05/070"/>
    <x v="193"/>
    <x v="4"/>
    <x v="5"/>
    <s v="D"/>
    <n v="228"/>
    <s v="D"/>
    <n v="203"/>
    <s v=" 12,315"/>
    <s v="D"/>
    <n v="229"/>
    <n v="-11.353"/>
  </r>
  <r>
    <s v="F.LLI BERTI SRL"/>
    <s v="84/05/501"/>
    <x v="194"/>
    <x v="4"/>
    <x v="5"/>
    <s v="D"/>
    <n v="0"/>
    <s v="D"/>
    <n v="133.1"/>
    <s v="100,000-"/>
    <s v="D"/>
    <n v="133.1"/>
    <m/>
  </r>
  <r>
    <s v="F.LLI BERTI SRL"/>
    <s v="84/05/000"/>
    <x v="195"/>
    <x v="0"/>
    <x v="0"/>
    <s v="D"/>
    <n v="1349.18"/>
    <s v="D"/>
    <n v="971.68"/>
    <s v=" 38,850"/>
    <s v="D"/>
    <n v="1280.56"/>
    <n v="-24.12"/>
  </r>
  <r>
    <s v="F.LLI BERTI SRL"/>
    <s v="84/10/035"/>
    <x v="196"/>
    <x v="4"/>
    <x v="5"/>
    <s v="D"/>
    <n v="181.19"/>
    <s v="D"/>
    <n v="722.97"/>
    <s v=" 74,938-"/>
    <m/>
    <n v="0"/>
    <n v="100"/>
  </r>
  <r>
    <s v="F.LLI BERTI SRL"/>
    <s v="84/10/055"/>
    <x v="197"/>
    <x v="4"/>
    <x v="5"/>
    <s v="D"/>
    <n v="25784.34"/>
    <s v="D"/>
    <n v="16672.28"/>
    <s v=" 54,653"/>
    <m/>
    <n v="0"/>
    <n v="100"/>
  </r>
  <r>
    <s v="F.LLI BERTI SRL"/>
    <s v="84/10/070"/>
    <x v="198"/>
    <x v="4"/>
    <x v="5"/>
    <s v="D"/>
    <n v="0"/>
    <s v="D"/>
    <n v="580.01"/>
    <s v="100,000-"/>
    <m/>
    <n v="0"/>
    <n v="100"/>
  </r>
  <r>
    <s v="F.LLI BERTI SRL"/>
    <s v="84/10/090"/>
    <x v="199"/>
    <x v="4"/>
    <x v="5"/>
    <s v="D"/>
    <n v="107.16"/>
    <m/>
    <n v="0"/>
    <s v="100,000"/>
    <m/>
    <n v="0"/>
    <m/>
  </r>
  <r>
    <s v="F.LLI BERTI SRL"/>
    <s v="84/10/190"/>
    <x v="200"/>
    <x v="4"/>
    <x v="5"/>
    <s v="D"/>
    <n v="2.33"/>
    <m/>
    <n v="0"/>
    <s v="100,000"/>
    <s v="D"/>
    <n v="346.24"/>
    <n v="-100"/>
  </r>
  <r>
    <s v="F.LLI BERTI SRL"/>
    <s v="84/10/504"/>
    <x v="201"/>
    <x v="4"/>
    <x v="4"/>
    <s v="D"/>
    <n v="72.239999999999995"/>
    <s v="D"/>
    <n v="2"/>
    <s v="***,000"/>
    <s v="D"/>
    <n v="110.7"/>
    <n v="-98.192999999999998"/>
  </r>
  <r>
    <s v="F.LLI BERTI SRL"/>
    <s v="84/10/524"/>
    <x v="202"/>
    <x v="4"/>
    <x v="5"/>
    <s v="D"/>
    <n v="4.8"/>
    <s v="D"/>
    <n v="29.19"/>
    <s v=" 83,556-"/>
    <s v="D"/>
    <n v="6.95"/>
    <n v="320"/>
  </r>
  <r>
    <s v="F.LLI BERTI SRL"/>
    <s v="84/10/537"/>
    <x v="203"/>
    <x v="4"/>
    <x v="5"/>
    <s v="D"/>
    <n v="0"/>
    <m/>
    <n v="0"/>
    <m/>
    <s v="D"/>
    <n v="24"/>
    <n v="-100"/>
  </r>
  <r>
    <s v="F.LLI BERTI SRL"/>
    <s v="84/10/000"/>
    <x v="204"/>
    <x v="0"/>
    <x v="0"/>
    <s v="D"/>
    <n v="26152.06"/>
    <s v="D"/>
    <n v="18006.45"/>
    <s v=" 45,237"/>
    <s v="D"/>
    <n v="487.89"/>
    <s v="***.000"/>
  </r>
  <r>
    <s v="F.LLI BERTI SRL"/>
    <s v="84/00/000"/>
    <x v="205"/>
    <x v="0"/>
    <x v="0"/>
    <s v="D"/>
    <n v="27501.24"/>
    <s v="D"/>
    <n v="18978.13"/>
    <s v=" 44,910"/>
    <s v="D"/>
    <n v="1768.45"/>
    <n v="973.15"/>
  </r>
  <r>
    <s v="F.LLI BERTI SRL"/>
    <s v="88/20/010"/>
    <x v="206"/>
    <x v="4"/>
    <x v="9"/>
    <s v="D"/>
    <n v="1369.62"/>
    <s v="D"/>
    <n v="1212.5899999999999"/>
    <s v=" 12,949"/>
    <s v="D"/>
    <n v="124.5"/>
    <n v="873.96699999999998"/>
  </r>
  <r>
    <s v="F.LLI BERTI SRL"/>
    <s v="88/20/015"/>
    <x v="207"/>
    <x v="4"/>
    <x v="9"/>
    <s v="D"/>
    <n v="5765.76"/>
    <s v="D"/>
    <n v="6526.37"/>
    <s v=" 11,654-"/>
    <s v="D"/>
    <n v="3723.74"/>
    <n v="75.263000000000005"/>
  </r>
  <r>
    <s v="F.LLI BERTI SRL"/>
    <s v="88/20/020"/>
    <x v="208"/>
    <x v="4"/>
    <x v="9"/>
    <s v="D"/>
    <n v="0"/>
    <s v="D"/>
    <n v="1074.53"/>
    <s v="100,000-"/>
    <s v="D"/>
    <n v="857.2"/>
    <n v="25.353000000000002"/>
  </r>
  <r>
    <s v="F.LLI BERTI SRL"/>
    <s v="88/20/040"/>
    <x v="209"/>
    <x v="4"/>
    <x v="9"/>
    <s v="D"/>
    <n v="0"/>
    <m/>
    <n v="0"/>
    <m/>
    <s v="D"/>
    <n v="26.24"/>
    <n v="-100"/>
  </r>
  <r>
    <s v="F.LLI BERTI SRL"/>
    <s v="88/20/046"/>
    <x v="210"/>
    <x v="4"/>
    <x v="9"/>
    <s v="D"/>
    <n v="143.29"/>
    <s v="D"/>
    <n v="12.74"/>
    <s v="***,000"/>
    <m/>
    <n v="0"/>
    <n v="100"/>
  </r>
  <r>
    <s v="F.LLI BERTI SRL"/>
    <s v="88/20/501"/>
    <x v="211"/>
    <x v="4"/>
    <x v="9"/>
    <s v="D"/>
    <n v="43.57"/>
    <m/>
    <n v="0"/>
    <s v="100,000"/>
    <m/>
    <n v="0"/>
    <m/>
  </r>
  <r>
    <s v="F.LLI BERTI SRL"/>
    <s v="88/20/000"/>
    <x v="212"/>
    <x v="0"/>
    <x v="0"/>
    <s v="D"/>
    <n v="7322.24"/>
    <s v="D"/>
    <n v="8826.23"/>
    <s v=" 17,040-"/>
    <s v="D"/>
    <n v="4731.68"/>
    <n v="86.534000000000006"/>
  </r>
  <r>
    <s v="F.LLI BERTI SRL"/>
    <s v="88/00/000"/>
    <x v="213"/>
    <x v="0"/>
    <x v="0"/>
    <s v="D"/>
    <n v="7322.24"/>
    <s v="D"/>
    <n v="8826.23"/>
    <s v=" 17,040-"/>
    <s v="D"/>
    <n v="4731.68"/>
    <n v="86.534000000000006"/>
  </r>
  <r>
    <s v="F.LLI BERTI SRL"/>
    <s v="95/15/005"/>
    <x v="214"/>
    <x v="4"/>
    <x v="5"/>
    <s v="D"/>
    <n v="0"/>
    <m/>
    <n v="0"/>
    <m/>
    <s v="D"/>
    <n v="25948"/>
    <n v="-100"/>
  </r>
  <r>
    <s v="F.LLI BERTI SRL"/>
    <s v="95/15/000"/>
    <x v="215"/>
    <x v="0"/>
    <x v="0"/>
    <s v="D"/>
    <n v="0"/>
    <m/>
    <n v="0"/>
    <m/>
    <s v="D"/>
    <n v="25948"/>
    <n v="-100"/>
  </r>
  <r>
    <s v="F.LLI BERTI SRL"/>
    <s v="95/00/000"/>
    <x v="216"/>
    <x v="0"/>
    <x v="0"/>
    <s v="D"/>
    <n v="0"/>
    <m/>
    <n v="0"/>
    <m/>
    <s v="D"/>
    <n v="25948"/>
    <n v="-100"/>
  </r>
  <r>
    <s v="F.LLI BERTI SRL"/>
    <s v="96/05/010"/>
    <x v="217"/>
    <x v="5"/>
    <x v="10"/>
    <s v="D"/>
    <n v="8727.8700000000008"/>
    <s v="D"/>
    <n v="10041.030000000001"/>
    <s v=" 13,077-"/>
    <m/>
    <n v="0"/>
    <n v="100"/>
  </r>
  <r>
    <s v="F.LLI BERTI SRL"/>
    <s v="96/05/000"/>
    <x v="218"/>
    <x v="0"/>
    <x v="0"/>
    <s v="D"/>
    <n v="8727.8700000000008"/>
    <s v="D"/>
    <n v="10041.030000000001"/>
    <s v=" 13,077-"/>
    <m/>
    <n v="0"/>
    <n v="100"/>
  </r>
  <r>
    <s v="F.LLI BERTI SRL"/>
    <s v="96/00/000"/>
    <x v="219"/>
    <x v="0"/>
    <x v="0"/>
    <s v="D"/>
    <n v="8727.8700000000008"/>
    <s v="D"/>
    <n v="10041.030000000001"/>
    <s v=" 13,077-"/>
    <m/>
    <n v="0"/>
    <n v="100"/>
  </r>
  <r>
    <s v="F.LLI BERTI SRL"/>
    <s v="58/05/205"/>
    <x v="220"/>
    <x v="1"/>
    <x v="11"/>
    <s v="A"/>
    <n v="2600"/>
    <s v="A"/>
    <n v="0"/>
    <s v="100,000"/>
    <s v="A"/>
    <n v="0"/>
    <m/>
  </r>
  <r>
    <s v="F.LLI BERTI SRL"/>
    <s v="58/05/000"/>
    <x v="221"/>
    <x v="0"/>
    <x v="0"/>
    <s v="A"/>
    <n v="2600"/>
    <s v="A"/>
    <n v="0"/>
    <s v="100,000"/>
    <s v="A"/>
    <n v="0"/>
    <m/>
  </r>
  <r>
    <s v="F.LLI BERTI SRL"/>
    <s v="58/10/015"/>
    <x v="222"/>
    <x v="0"/>
    <x v="0"/>
    <s v="A"/>
    <n v="207565.15"/>
    <s v="A"/>
    <n v="319517.02"/>
    <s v=" 35,037-"/>
    <s v="A"/>
    <n v="367078.74"/>
    <n v="-12.956"/>
  </r>
  <r>
    <s v="F.LLI BERTI SRL"/>
    <s v="58/10/510"/>
    <x v="223"/>
    <x v="0"/>
    <x v="0"/>
    <s v="A"/>
    <n v="1750"/>
    <s v="A"/>
    <n v="0"/>
    <s v="100,000"/>
    <s v="A"/>
    <n v="0"/>
    <m/>
  </r>
  <r>
    <s v="F.LLI BERTI SRL"/>
    <s v="58/10/511"/>
    <x v="224"/>
    <x v="0"/>
    <x v="0"/>
    <s v="A"/>
    <n v="63463.64"/>
    <s v="A"/>
    <n v="0"/>
    <s v="100,000"/>
    <s v="A"/>
    <n v="0"/>
    <m/>
  </r>
  <r>
    <s v="F.LLI BERTI SRL"/>
    <s v="58/10/512"/>
    <x v="225"/>
    <x v="0"/>
    <x v="0"/>
    <s v="A"/>
    <n v="0"/>
    <s v="A"/>
    <n v="70000"/>
    <s v="100,000-"/>
    <s v="A"/>
    <n v="0"/>
    <n v="100"/>
  </r>
  <r>
    <s v="F.LLI BERTI SRL"/>
    <s v="58/10/513"/>
    <x v="226"/>
    <x v="0"/>
    <x v="0"/>
    <s v="A"/>
    <n v="0"/>
    <s v="A"/>
    <n v="181097.42"/>
    <s v="100,000-"/>
    <s v="A"/>
    <n v="0"/>
    <n v="100"/>
  </r>
  <r>
    <s v="F.LLI BERTI SRL"/>
    <s v="58/10/514"/>
    <x v="227"/>
    <x v="0"/>
    <x v="0"/>
    <s v="A"/>
    <n v="0"/>
    <s v="A"/>
    <n v="73000"/>
    <s v="100,000-"/>
    <s v="A"/>
    <n v="0"/>
    <n v="100"/>
  </r>
  <r>
    <s v="F.LLI BERTI SRL"/>
    <s v="58/10/515"/>
    <x v="228"/>
    <x v="0"/>
    <x v="0"/>
    <s v="A"/>
    <n v="109437.52"/>
    <s v="A"/>
    <n v="0"/>
    <s v="100,000"/>
    <s v="A"/>
    <n v="0"/>
    <m/>
  </r>
  <r>
    <s v="F.LLI BERTI SRL"/>
    <s v="58/10/516"/>
    <x v="229"/>
    <x v="0"/>
    <x v="0"/>
    <s v="A"/>
    <n v="0"/>
    <s v="A"/>
    <n v="0"/>
    <m/>
    <s v="A"/>
    <n v="71000"/>
    <n v="-100"/>
  </r>
  <r>
    <s v="F.LLI BERTI SRL"/>
    <s v="58/10/000"/>
    <x v="230"/>
    <x v="1"/>
    <x v="11"/>
    <s v="A"/>
    <n v="382216.31"/>
    <s v="A"/>
    <n v="643614.43999999994"/>
    <s v=" 40,614-"/>
    <s v="A"/>
    <n v="438078.74"/>
    <n v="46.917000000000002"/>
  </r>
  <r>
    <s v="F.LLI BERTI SRL"/>
    <s v="58/00/000"/>
    <x v="231"/>
    <x v="0"/>
    <x v="0"/>
    <s v="A"/>
    <n v="384816.31"/>
    <s v="A"/>
    <n v="643614.43999999994"/>
    <s v=" 40,210-"/>
    <s v="A"/>
    <n v="438078.74"/>
    <n v="46.917000000000002"/>
  </r>
  <r>
    <s v="F.LLI BERTI SRL"/>
    <s v="61/05/010"/>
    <x v="232"/>
    <x v="1"/>
    <x v="12"/>
    <s v="A"/>
    <n v="116575"/>
    <s v="A"/>
    <n v="11275"/>
    <s v="933,924"/>
    <s v="A"/>
    <n v="24450"/>
    <n v="-53.884999999999998"/>
  </r>
  <r>
    <s v="F.LLI BERTI SRL"/>
    <s v="61/05/000"/>
    <x v="119"/>
    <x v="0"/>
    <x v="0"/>
    <s v="A"/>
    <n v="116575"/>
    <s v="A"/>
    <n v="11275"/>
    <s v="933,924"/>
    <s v="A"/>
    <n v="24450"/>
    <n v="-53.884999999999998"/>
  </r>
  <r>
    <s v="F.LLI BERTI SRL"/>
    <s v="61/00/000"/>
    <x v="119"/>
    <x v="0"/>
    <x v="0"/>
    <s v="A"/>
    <n v="116575"/>
    <s v="A"/>
    <n v="11275"/>
    <s v="933,924"/>
    <s v="A"/>
    <n v="24450"/>
    <n v="-53.884999999999998"/>
  </r>
  <r>
    <s v="F.LLI BERTI SRL"/>
    <s v="64/05/115"/>
    <x v="233"/>
    <x v="0"/>
    <x v="0"/>
    <s v="A"/>
    <n v="162.88"/>
    <s v="A"/>
    <n v="1082.33"/>
    <s v=" 84,950-"/>
    <s v="A"/>
    <n v="283.54000000000002"/>
    <n v="281.72000000000003"/>
  </r>
  <r>
    <s v="F.LLI BERTI SRL"/>
    <s v="64/05/505"/>
    <x v="234"/>
    <x v="0"/>
    <x v="0"/>
    <s v="A"/>
    <n v="0"/>
    <s v="A"/>
    <n v="11957.48"/>
    <s v="100,000-"/>
    <s v="A"/>
    <n v="0"/>
    <n v="100"/>
  </r>
  <r>
    <s v="F.LLI BERTI SRL"/>
    <s v="64/05/511"/>
    <x v="235"/>
    <x v="0"/>
    <x v="0"/>
    <s v="A"/>
    <n v="68.819999999999993"/>
    <s v="A"/>
    <n v="0"/>
    <s v="100,000"/>
    <s v="A"/>
    <n v="0"/>
    <m/>
  </r>
  <r>
    <s v="F.LLI BERTI SRL"/>
    <s v="64/05/512"/>
    <x v="236"/>
    <x v="0"/>
    <x v="0"/>
    <s v="A"/>
    <n v="14.64"/>
    <s v="A"/>
    <n v="4.3899999999999997"/>
    <s v="233,485"/>
    <s v="A"/>
    <n v="2.56"/>
    <n v="71.483999999999995"/>
  </r>
  <r>
    <s v="F.LLI BERTI SRL"/>
    <s v="64/05/527"/>
    <x v="237"/>
    <x v="0"/>
    <x v="0"/>
    <s v="A"/>
    <n v="0"/>
    <s v="A"/>
    <n v="4250"/>
    <s v="100,000-"/>
    <s v="A"/>
    <n v="0"/>
    <n v="100"/>
  </r>
  <r>
    <s v="F.LLI BERTI SRL"/>
    <s v="64/05/531"/>
    <x v="238"/>
    <x v="0"/>
    <x v="0"/>
    <s v="A"/>
    <n v="3966.1"/>
    <s v="A"/>
    <n v="0"/>
    <s v="100,000"/>
    <s v="A"/>
    <n v="0"/>
    <m/>
  </r>
  <r>
    <s v="F.LLI BERTI SRL"/>
    <s v="64/05/000"/>
    <x v="239"/>
    <x v="1"/>
    <x v="13"/>
    <s v="A"/>
    <n v="4212.4399999999996"/>
    <s v="A"/>
    <n v="17294.2"/>
    <s v=" 75,642-"/>
    <s v="A"/>
    <n v="286.10000000000002"/>
    <s v="***.000"/>
  </r>
  <r>
    <s v="F.LLI BERTI SRL"/>
    <s v="64/15/030"/>
    <x v="240"/>
    <x v="1"/>
    <x v="14"/>
    <s v="A"/>
    <n v="4983.4799999999996"/>
    <s v="A"/>
    <n v="9723.48"/>
    <s v=" 48,747-"/>
    <s v="A"/>
    <n v="33951.050000000003"/>
    <n v="-71.36"/>
  </r>
  <r>
    <s v="F.LLI BERTI SRL"/>
    <s v="64/15/000"/>
    <x v="241"/>
    <x v="0"/>
    <x v="0"/>
    <s v="A"/>
    <n v="4983.4799999999996"/>
    <s v="A"/>
    <n v="9723.48"/>
    <s v=" 48,747-"/>
    <s v="A"/>
    <n v="33951.050000000003"/>
    <n v="-71.36"/>
  </r>
  <r>
    <s v="F.LLI BERTI SRL"/>
    <s v="64/00/000"/>
    <x v="239"/>
    <x v="0"/>
    <x v="0"/>
    <s v="A"/>
    <n v="9195.92"/>
    <s v="A"/>
    <n v="27017.68"/>
    <s v=" 65,963-"/>
    <s v="A"/>
    <n v="34237.15"/>
    <n v="-21.085999999999999"/>
  </r>
  <r>
    <s v="F.LLI BERTI SRL"/>
    <s v="80/20/010"/>
    <x v="242"/>
    <x v="1"/>
    <x v="12"/>
    <s v="A"/>
    <n v="645.80999999999995"/>
    <s v="A"/>
    <n v="3602.11"/>
    <s v=" 82,071-"/>
    <s v="A"/>
    <n v="0"/>
    <n v="100"/>
  </r>
  <r>
    <s v="F.LLI BERTI SRL"/>
    <s v="80/20/000"/>
    <x v="188"/>
    <x v="0"/>
    <x v="0"/>
    <s v="A"/>
    <n v="645.80999999999995"/>
    <s v="A"/>
    <n v="3602.11"/>
    <s v=" 82,071-"/>
    <s v="A"/>
    <n v="0"/>
    <n v="100"/>
  </r>
  <r>
    <s v="F.LLI BERTI SRL"/>
    <s v="80/00/000"/>
    <x v="189"/>
    <x v="0"/>
    <x v="0"/>
    <s v="A"/>
    <n v="645.80999999999995"/>
    <s v="A"/>
    <n v="3602.11"/>
    <s v=" 82,071-"/>
    <s v="A"/>
    <n v="0"/>
    <n v="100"/>
  </r>
  <r>
    <s v="F.LLI BERTI SRL"/>
    <s v="87/20/035"/>
    <x v="243"/>
    <x v="1"/>
    <x v="14"/>
    <s v="A"/>
    <n v="253.53"/>
    <s v="A"/>
    <n v="534.07000000000005"/>
    <s v=" 52,528-"/>
    <s v="A"/>
    <n v="0"/>
    <n v="100"/>
  </r>
  <r>
    <s v="F.LLI BERTI SRL"/>
    <s v="87/20/000"/>
    <x v="244"/>
    <x v="0"/>
    <x v="0"/>
    <s v="A"/>
    <n v="253.53"/>
    <s v="A"/>
    <n v="534.07000000000005"/>
    <s v=" 52,528-"/>
    <s v="A"/>
    <n v="0"/>
    <n v="100"/>
  </r>
  <r>
    <s v="F.LLI BERTI SRL"/>
    <s v="87/00/000"/>
    <x v="245"/>
    <x v="0"/>
    <x v="0"/>
    <s v="A"/>
    <n v="253.53"/>
    <s v="A"/>
    <n v="534.07000000000005"/>
    <s v=" 52,528-"/>
    <s v="A"/>
    <n v="0"/>
    <n v="100"/>
  </r>
  <r>
    <m/>
    <m/>
    <x v="246"/>
    <x v="0"/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EA2A29-A335-4A3F-BB72-25D6A233D6D5}" name="Tabella pivot1" cacheId="0" applyNumberFormats="0" applyBorderFormats="0" applyFontFormats="0" applyPatternFormats="0" applyAlignmentFormats="0" applyWidthHeightFormats="1" dataCaption="Valori" updatedVersion="6" minRefreshableVersion="3" rowGrandTotals="0" colGrandTotals="0" itemPrintTitles="1" createdVersion="8" indent="0" outline="1" outlineData="1" multipleFieldFilters="0" rowHeaderCaption="CONTI" colHeaderCaption="Anno">
  <location ref="A3:D98" firstHeaderRow="0" firstDataRow="1" firstDataCol="1"/>
  <pivotFields count="13">
    <pivotField showAll="0"/>
    <pivotField showAll="0"/>
    <pivotField axis="axisRow" showAll="0">
      <items count="298">
        <item x="134"/>
        <item x="49"/>
        <item x="25"/>
        <item x="114"/>
        <item x="105"/>
        <item x="204"/>
        <item x="239"/>
        <item x="186"/>
        <item x="236"/>
        <item x="202"/>
        <item x="51"/>
        <item x="80"/>
        <item x="79"/>
        <item x="153"/>
        <item x="135"/>
        <item x="162"/>
        <item x="33"/>
        <item x="22"/>
        <item x="61"/>
        <item x="99"/>
        <item x="58"/>
        <item x="54"/>
        <item x="53"/>
        <item x="52"/>
        <item x="193"/>
        <item x="55"/>
        <item x="60"/>
        <item x="66"/>
        <item x="74"/>
        <item x="69"/>
        <item x="13"/>
        <item x="7"/>
        <item x="190"/>
        <item x="218"/>
        <item x="195"/>
        <item x="219"/>
        <item x="213"/>
        <item x="159"/>
        <item x="196"/>
        <item x="148"/>
        <item x="205"/>
        <item x="85"/>
        <item x="231"/>
        <item x="230"/>
        <item x="21"/>
        <item x="197"/>
        <item x="133"/>
        <item x="150"/>
        <item x="201"/>
        <item x="4"/>
        <item x="212"/>
        <item m="1" x="290"/>
        <item m="1" x="252"/>
        <item m="1" x="289"/>
        <item m="1" x="277"/>
        <item m="1" x="257"/>
        <item m="1" x="263"/>
        <item m="1" x="260"/>
        <item m="1" x="248"/>
        <item m="1" x="250"/>
        <item m="1" x="247"/>
        <item m="1" x="292"/>
        <item m="1" x="258"/>
        <item x="246"/>
        <item x="243"/>
        <item x="244"/>
        <item x="245"/>
        <item m="1" x="270"/>
        <item m="1" x="262"/>
        <item x="3"/>
        <item x="6"/>
        <item x="8"/>
        <item x="9"/>
        <item x="10"/>
        <item x="11"/>
        <item x="12"/>
        <item m="1" x="279"/>
        <item m="1" x="280"/>
        <item m="1" x="253"/>
        <item m="1" x="256"/>
        <item m="1" x="273"/>
        <item m="1" x="259"/>
        <item m="1" x="266"/>
        <item m="1" x="271"/>
        <item m="1" x="272"/>
        <item m="1" x="264"/>
        <item x="42"/>
        <item m="1" x="281"/>
        <item m="1" x="265"/>
        <item x="65"/>
        <item x="68"/>
        <item x="70"/>
        <item x="71"/>
        <item x="72"/>
        <item x="73"/>
        <item m="1" x="261"/>
        <item m="1" x="268"/>
        <item x="36"/>
        <item m="1" x="287"/>
        <item m="1" x="288"/>
        <item m="1" x="276"/>
        <item m="1" x="285"/>
        <item m="1" x="278"/>
        <item m="1" x="282"/>
        <item x="151"/>
        <item m="1" x="293"/>
        <item m="1" x="296"/>
        <item m="1" x="254"/>
        <item x="189"/>
        <item m="1" x="291"/>
        <item m="1" x="286"/>
        <item x="206"/>
        <item x="210"/>
        <item x="211"/>
        <item m="1" x="249"/>
        <item m="1" x="294"/>
        <item x="216"/>
        <item m="1" x="267"/>
        <item m="1" x="251"/>
        <item m="1" x="283"/>
        <item m="1" x="255"/>
        <item m="1" x="275"/>
        <item m="1" x="269"/>
        <item m="1" x="295"/>
        <item m="1" x="274"/>
        <item m="1" x="284"/>
        <item x="0"/>
        <item x="1"/>
        <item x="2"/>
        <item x="5"/>
        <item x="14"/>
        <item x="15"/>
        <item x="16"/>
        <item x="17"/>
        <item x="18"/>
        <item x="19"/>
        <item x="20"/>
        <item x="23"/>
        <item x="24"/>
        <item x="26"/>
        <item x="27"/>
        <item x="28"/>
        <item x="29"/>
        <item x="30"/>
        <item x="31"/>
        <item x="32"/>
        <item x="34"/>
        <item x="35"/>
        <item x="37"/>
        <item x="38"/>
        <item x="39"/>
        <item x="40"/>
        <item x="41"/>
        <item x="43"/>
        <item x="44"/>
        <item x="45"/>
        <item x="46"/>
        <item x="47"/>
        <item x="48"/>
        <item x="50"/>
        <item x="56"/>
        <item x="57"/>
        <item x="59"/>
        <item x="62"/>
        <item x="63"/>
        <item x="64"/>
        <item x="67"/>
        <item x="75"/>
        <item x="76"/>
        <item x="77"/>
        <item x="78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2"/>
        <item x="154"/>
        <item x="155"/>
        <item x="156"/>
        <item x="157"/>
        <item x="158"/>
        <item x="160"/>
        <item x="16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91"/>
        <item x="192"/>
        <item x="194"/>
        <item x="198"/>
        <item x="199"/>
        <item x="200"/>
        <item x="203"/>
        <item x="207"/>
        <item x="208"/>
        <item x="209"/>
        <item x="214"/>
        <item x="215"/>
        <item x="217"/>
        <item x="220"/>
        <item x="221"/>
        <item x="222"/>
        <item x="223"/>
        <item x="224"/>
        <item x="225"/>
        <item x="226"/>
        <item x="227"/>
        <item x="228"/>
        <item x="229"/>
        <item x="232"/>
        <item x="233"/>
        <item x="234"/>
        <item x="235"/>
        <item x="237"/>
        <item x="238"/>
        <item x="240"/>
        <item x="241"/>
        <item x="242"/>
        <item t="default"/>
      </items>
    </pivotField>
    <pivotField axis="axisRow" showAll="0">
      <items count="7">
        <item x="3"/>
        <item x="0"/>
        <item x="4"/>
        <item x="2"/>
        <item x="1"/>
        <item x="5"/>
        <item t="default"/>
      </items>
    </pivotField>
    <pivotField axis="axisRow" showAll="0">
      <items count="16">
        <item h="1" x="3"/>
        <item h="1"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numFmtId="4" showAll="0"/>
    <pivotField showAll="0"/>
    <pivotField dataField="1" numFmtId="4" showAll="0"/>
    <pivotField showAll="0"/>
    <pivotField showAll="0"/>
    <pivotField dataField="1" numFmtId="4" showAll="0"/>
    <pivotField showAll="0"/>
  </pivotFields>
  <rowFields count="3">
    <field x="3"/>
    <field x="4"/>
    <field x="2"/>
  </rowFields>
  <rowItems count="95">
    <i>
      <x v="2"/>
    </i>
    <i r="1">
      <x v="4"/>
    </i>
    <i r="2">
      <x v="13"/>
    </i>
    <i r="2">
      <x v="37"/>
    </i>
    <i r="2">
      <x v="46"/>
    </i>
    <i r="2">
      <x v="48"/>
    </i>
    <i r="2">
      <x v="104"/>
    </i>
    <i r="2">
      <x v="215"/>
    </i>
    <i r="2">
      <x v="216"/>
    </i>
    <i r="2">
      <x v="217"/>
    </i>
    <i r="2">
      <x v="218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2"/>
    </i>
    <i r="2">
      <x v="233"/>
    </i>
    <i r="2">
      <x v="234"/>
    </i>
    <i r="2">
      <x v="236"/>
    </i>
    <i r="2">
      <x v="237"/>
    </i>
    <i r="2">
      <x v="238"/>
    </i>
    <i r="2">
      <x v="239"/>
    </i>
    <i r="1">
      <x v="5"/>
    </i>
    <i r="2">
      <x v="9"/>
    </i>
    <i r="2">
      <x v="24"/>
    </i>
    <i r="2">
      <x v="32"/>
    </i>
    <i r="2">
      <x v="38"/>
    </i>
    <i r="2">
      <x v="39"/>
    </i>
    <i r="2">
      <x v="45"/>
    </i>
    <i r="2">
      <x v="47"/>
    </i>
    <i r="2">
      <x v="235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5"/>
    </i>
    <i r="1">
      <x v="6"/>
    </i>
    <i r="2">
      <x v="242"/>
    </i>
    <i r="2">
      <x v="244"/>
    </i>
    <i r="1">
      <x v="7"/>
    </i>
    <i r="2">
      <x v="246"/>
    </i>
    <i r="2">
      <x v="248"/>
    </i>
    <i r="2">
      <x v="249"/>
    </i>
    <i r="2">
      <x v="250"/>
    </i>
    <i r="2">
      <x v="251"/>
    </i>
    <i r="2">
      <x v="253"/>
    </i>
    <i r="2">
      <x v="255"/>
    </i>
    <i r="1">
      <x v="8"/>
    </i>
    <i r="2">
      <x v="258"/>
    </i>
    <i r="2">
      <x v="259"/>
    </i>
    <i r="2">
      <x v="261"/>
    </i>
    <i r="1">
      <x v="9"/>
    </i>
    <i r="2">
      <x v="111"/>
    </i>
    <i r="2">
      <x v="112"/>
    </i>
    <i r="2">
      <x v="113"/>
    </i>
    <i r="2">
      <x v="272"/>
    </i>
    <i r="2">
      <x v="273"/>
    </i>
    <i r="2">
      <x v="274"/>
    </i>
    <i>
      <x v="3"/>
    </i>
    <i r="1">
      <x v="3"/>
    </i>
    <i r="2">
      <x v="206"/>
    </i>
    <i r="2">
      <x v="208"/>
    </i>
    <i r="2">
      <x v="210"/>
    </i>
    <i r="2">
      <x v="212"/>
    </i>
    <i r="2">
      <x v="213"/>
    </i>
    <i r="2">
      <x v="219"/>
    </i>
    <i r="2">
      <x v="220"/>
    </i>
    <i r="2">
      <x v="231"/>
    </i>
    <i>
      <x v="4"/>
    </i>
    <i r="1">
      <x v="2"/>
    </i>
    <i r="2">
      <x v="204"/>
    </i>
    <i r="2">
      <x v="263"/>
    </i>
    <i r="1">
      <x v="11"/>
    </i>
    <i r="2">
      <x v="43"/>
    </i>
    <i r="2">
      <x v="278"/>
    </i>
    <i r="1">
      <x v="12"/>
    </i>
    <i r="2">
      <x v="288"/>
    </i>
    <i r="2">
      <x v="296"/>
    </i>
    <i r="1">
      <x v="13"/>
    </i>
    <i r="2">
      <x v="6"/>
    </i>
    <i r="1">
      <x v="14"/>
    </i>
    <i r="2">
      <x v="64"/>
    </i>
    <i r="2">
      <x v="294"/>
    </i>
    <i>
      <x v="5"/>
    </i>
    <i r="1">
      <x v="10"/>
    </i>
    <i r="2">
      <x v="277"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2023" fld="6" baseField="0" baseItem="0" numFmtId="4"/>
    <dataField name="Somma di 2024" fld="8" baseField="0" baseItem="0" numFmtId="4"/>
    <dataField name="Somma di 2025" fld="11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6B7E-2631-4AA9-A0D6-75629EE78A71}">
  <dimension ref="A1:U281"/>
  <sheetViews>
    <sheetView workbookViewId="0">
      <pane ySplit="1" topLeftCell="A250" activePane="bottomLeft" state="frozen"/>
      <selection pane="bottomLeft" activeCell="C266" sqref="C266:C271"/>
    </sheetView>
  </sheetViews>
  <sheetFormatPr defaultRowHeight="15"/>
  <cols>
    <col min="1" max="1" width="5.28515625" bestFit="1" customWidth="1"/>
    <col min="2" max="2" width="26.140625" bestFit="1" customWidth="1"/>
    <col min="3" max="3" width="12.28515625" bestFit="1" customWidth="1"/>
    <col min="4" max="4" width="35.7109375" bestFit="1" customWidth="1"/>
    <col min="5" max="6" width="9.42578125" style="9" customWidth="1"/>
    <col min="7" max="7" width="11.42578125" bestFit="1" customWidth="1"/>
    <col min="8" max="8" width="10.140625" bestFit="1" customWidth="1"/>
    <col min="9" max="9" width="11.42578125" bestFit="1" customWidth="1"/>
    <col min="10" max="10" width="10.140625" bestFit="1" customWidth="1"/>
    <col min="11" max="11" width="8.28515625" bestFit="1" customWidth="1"/>
    <col min="12" max="12" width="11.42578125" bestFit="1" customWidth="1"/>
    <col min="13" max="13" width="10.140625" bestFit="1" customWidth="1"/>
    <col min="14" max="14" width="8.28515625" bestFit="1" customWidth="1"/>
    <col min="15" max="15" width="13.28515625" customWidth="1"/>
  </cols>
  <sheetData>
    <row r="1" spans="1:14" s="119" customFormat="1">
      <c r="A1" s="10" t="s">
        <v>193</v>
      </c>
      <c r="B1" s="10" t="s">
        <v>192</v>
      </c>
      <c r="C1" s="10" t="s">
        <v>191</v>
      </c>
      <c r="D1" s="10" t="s">
        <v>190</v>
      </c>
      <c r="E1" s="150" t="s">
        <v>220</v>
      </c>
      <c r="F1" s="150" t="s">
        <v>221</v>
      </c>
      <c r="G1" s="10" t="s">
        <v>189</v>
      </c>
      <c r="H1" s="10" t="s">
        <v>650</v>
      </c>
      <c r="I1" s="10" t="s">
        <v>188</v>
      </c>
      <c r="J1" s="10" t="s">
        <v>651</v>
      </c>
      <c r="K1" s="10" t="s">
        <v>187</v>
      </c>
      <c r="L1" s="10" t="s">
        <v>652</v>
      </c>
      <c r="M1" s="10" t="s">
        <v>239</v>
      </c>
      <c r="N1" s="10" t="s">
        <v>186</v>
      </c>
    </row>
    <row r="2" spans="1:14">
      <c r="A2" s="6">
        <v>112</v>
      </c>
      <c r="B2" s="5" t="s">
        <v>305</v>
      </c>
      <c r="C2" s="5" t="s">
        <v>306</v>
      </c>
      <c r="D2" s="5" t="s">
        <v>307</v>
      </c>
      <c r="G2" s="5" t="s">
        <v>27</v>
      </c>
      <c r="H2" s="4">
        <v>2800</v>
      </c>
      <c r="I2" s="5" t="s">
        <v>27</v>
      </c>
      <c r="J2" s="4">
        <v>2800</v>
      </c>
      <c r="K2" s="5"/>
      <c r="L2" s="5" t="s">
        <v>27</v>
      </c>
      <c r="M2" s="4">
        <v>2800</v>
      </c>
      <c r="N2" s="4"/>
    </row>
    <row r="3" spans="1:14">
      <c r="A3" s="6">
        <v>112</v>
      </c>
      <c r="B3" s="5" t="s">
        <v>305</v>
      </c>
      <c r="C3" s="5" t="s">
        <v>308</v>
      </c>
      <c r="D3" s="5" t="s">
        <v>309</v>
      </c>
      <c r="G3" s="5" t="s">
        <v>27</v>
      </c>
      <c r="H3" s="4">
        <v>2800</v>
      </c>
      <c r="I3" s="5" t="s">
        <v>27</v>
      </c>
      <c r="J3" s="4">
        <v>2800</v>
      </c>
      <c r="K3" s="5"/>
      <c r="L3" s="5" t="s">
        <v>27</v>
      </c>
      <c r="M3" s="4">
        <v>2800</v>
      </c>
      <c r="N3" s="4"/>
    </row>
    <row r="4" spans="1:14">
      <c r="A4" s="6">
        <v>112</v>
      </c>
      <c r="B4" s="5" t="s">
        <v>305</v>
      </c>
      <c r="C4" s="5" t="s">
        <v>310</v>
      </c>
      <c r="D4" s="5" t="s">
        <v>311</v>
      </c>
      <c r="G4" s="5" t="s">
        <v>27</v>
      </c>
      <c r="H4" s="4">
        <v>2800</v>
      </c>
      <c r="I4" s="5" t="s">
        <v>27</v>
      </c>
      <c r="J4" s="4">
        <v>2800</v>
      </c>
      <c r="K4" s="5"/>
      <c r="L4" s="5" t="s">
        <v>27</v>
      </c>
      <c r="M4" s="4">
        <v>2800</v>
      </c>
      <c r="N4" s="4"/>
    </row>
    <row r="5" spans="1:14">
      <c r="A5" s="6">
        <v>112</v>
      </c>
      <c r="B5" s="5" t="s">
        <v>305</v>
      </c>
      <c r="C5" s="5" t="s">
        <v>248</v>
      </c>
      <c r="D5" s="5" t="s">
        <v>249</v>
      </c>
      <c r="G5" s="5" t="s">
        <v>27</v>
      </c>
      <c r="H5" s="4">
        <v>346.75</v>
      </c>
      <c r="I5" s="5" t="s">
        <v>27</v>
      </c>
      <c r="J5" s="4">
        <v>346.75</v>
      </c>
      <c r="K5" s="5"/>
      <c r="L5" s="5" t="s">
        <v>27</v>
      </c>
      <c r="M5" s="4">
        <v>346.75</v>
      </c>
      <c r="N5" s="4"/>
    </row>
    <row r="6" spans="1:14">
      <c r="A6" s="6">
        <v>112</v>
      </c>
      <c r="B6" s="5" t="s">
        <v>305</v>
      </c>
      <c r="C6" s="5" t="s">
        <v>185</v>
      </c>
      <c r="D6" s="5" t="s">
        <v>184</v>
      </c>
      <c r="G6" s="5" t="s">
        <v>27</v>
      </c>
      <c r="H6" s="4">
        <v>346.75</v>
      </c>
      <c r="I6" s="5" t="s">
        <v>27</v>
      </c>
      <c r="J6" s="4">
        <v>346.75</v>
      </c>
      <c r="K6" s="5"/>
      <c r="L6" s="5" t="s">
        <v>27</v>
      </c>
      <c r="M6" s="4">
        <v>346.75</v>
      </c>
      <c r="N6" s="4"/>
    </row>
    <row r="7" spans="1:14">
      <c r="A7" s="6">
        <v>112</v>
      </c>
      <c r="B7" s="5" t="s">
        <v>305</v>
      </c>
      <c r="C7" s="5" t="s">
        <v>312</v>
      </c>
      <c r="D7" s="5" t="s">
        <v>313</v>
      </c>
      <c r="G7" s="5" t="s">
        <v>27</v>
      </c>
      <c r="H7" s="4">
        <v>16232.4</v>
      </c>
      <c r="I7" s="5" t="s">
        <v>27</v>
      </c>
      <c r="J7" s="4">
        <v>16232.4</v>
      </c>
      <c r="K7" s="5"/>
      <c r="L7" s="5" t="s">
        <v>27</v>
      </c>
      <c r="M7" s="4">
        <v>16232.4</v>
      </c>
      <c r="N7" s="4"/>
    </row>
    <row r="8" spans="1:14">
      <c r="A8" s="6">
        <v>112</v>
      </c>
      <c r="B8" s="5" t="s">
        <v>305</v>
      </c>
      <c r="C8" s="5" t="s">
        <v>250</v>
      </c>
      <c r="D8" s="5" t="s">
        <v>251</v>
      </c>
      <c r="G8" s="5" t="s">
        <v>27</v>
      </c>
      <c r="H8" s="4">
        <v>4050</v>
      </c>
      <c r="I8" s="5" t="s">
        <v>27</v>
      </c>
      <c r="J8" s="4">
        <v>15116.17</v>
      </c>
      <c r="K8" s="5" t="s">
        <v>183</v>
      </c>
      <c r="L8" s="5" t="s">
        <v>27</v>
      </c>
      <c r="M8" s="4">
        <v>15116.17</v>
      </c>
      <c r="N8" s="4"/>
    </row>
    <row r="9" spans="1:14">
      <c r="A9" s="6">
        <v>112</v>
      </c>
      <c r="B9" s="5" t="s">
        <v>305</v>
      </c>
      <c r="C9" s="5" t="s">
        <v>182</v>
      </c>
      <c r="D9" s="5" t="s">
        <v>181</v>
      </c>
      <c r="G9" s="5" t="s">
        <v>27</v>
      </c>
      <c r="H9" s="4">
        <v>20282.400000000001</v>
      </c>
      <c r="I9" s="5" t="s">
        <v>27</v>
      </c>
      <c r="J9" s="4">
        <v>31348.57</v>
      </c>
      <c r="K9" s="5" t="s">
        <v>180</v>
      </c>
      <c r="L9" s="5" t="s">
        <v>27</v>
      </c>
      <c r="M9" s="4">
        <v>31348.57</v>
      </c>
      <c r="N9" s="4"/>
    </row>
    <row r="10" spans="1:14">
      <c r="A10" s="6">
        <v>112</v>
      </c>
      <c r="B10" s="5" t="s">
        <v>305</v>
      </c>
      <c r="C10" s="5" t="s">
        <v>252</v>
      </c>
      <c r="D10" s="5" t="s">
        <v>253</v>
      </c>
      <c r="G10" s="5" t="s">
        <v>27</v>
      </c>
      <c r="H10" s="4">
        <v>5030.3999999999996</v>
      </c>
      <c r="I10" s="5" t="s">
        <v>27</v>
      </c>
      <c r="J10" s="4">
        <v>5030.3999999999996</v>
      </c>
      <c r="K10" s="5"/>
      <c r="L10" s="5" t="s">
        <v>27</v>
      </c>
      <c r="M10" s="4">
        <v>5030.3999999999996</v>
      </c>
      <c r="N10" s="4"/>
    </row>
    <row r="11" spans="1:14">
      <c r="A11" s="6">
        <v>112</v>
      </c>
      <c r="B11" s="5" t="s">
        <v>305</v>
      </c>
      <c r="C11" s="5" t="s">
        <v>254</v>
      </c>
      <c r="D11" s="5" t="s">
        <v>255</v>
      </c>
      <c r="G11" s="5" t="s">
        <v>27</v>
      </c>
      <c r="H11" s="4">
        <v>790</v>
      </c>
      <c r="I11" s="5" t="s">
        <v>27</v>
      </c>
      <c r="J11" s="4">
        <v>790</v>
      </c>
      <c r="K11" s="5"/>
      <c r="L11" s="5" t="s">
        <v>27</v>
      </c>
      <c r="M11" s="4">
        <v>790</v>
      </c>
      <c r="N11" s="4"/>
    </row>
    <row r="12" spans="1:14">
      <c r="A12" s="6">
        <v>112</v>
      </c>
      <c r="B12" s="5" t="s">
        <v>305</v>
      </c>
      <c r="C12" s="5" t="s">
        <v>256</v>
      </c>
      <c r="D12" s="5" t="s">
        <v>257</v>
      </c>
      <c r="G12" s="5" t="s">
        <v>27</v>
      </c>
      <c r="H12" s="4">
        <v>5820.4</v>
      </c>
      <c r="I12" s="5" t="s">
        <v>27</v>
      </c>
      <c r="J12" s="4">
        <v>5820.4</v>
      </c>
      <c r="K12" s="5"/>
      <c r="L12" s="5" t="s">
        <v>27</v>
      </c>
      <c r="M12" s="4">
        <v>5820.4</v>
      </c>
      <c r="N12" s="4"/>
    </row>
    <row r="13" spans="1:14">
      <c r="A13" s="6">
        <v>112</v>
      </c>
      <c r="B13" s="5" t="s">
        <v>305</v>
      </c>
      <c r="C13" s="5" t="s">
        <v>258</v>
      </c>
      <c r="D13" s="5" t="s">
        <v>259</v>
      </c>
      <c r="G13" s="5" t="s">
        <v>27</v>
      </c>
      <c r="H13" s="4">
        <v>146878.60999999999</v>
      </c>
      <c r="I13" s="5" t="s">
        <v>27</v>
      </c>
      <c r="J13" s="4">
        <v>153947.72</v>
      </c>
      <c r="K13" s="5" t="s">
        <v>179</v>
      </c>
      <c r="L13" s="5" t="s">
        <v>27</v>
      </c>
      <c r="M13" s="4">
        <v>153947.72</v>
      </c>
      <c r="N13" s="4"/>
    </row>
    <row r="14" spans="1:14">
      <c r="A14" s="6">
        <v>112</v>
      </c>
      <c r="B14" s="5" t="s">
        <v>305</v>
      </c>
      <c r="C14" s="5" t="s">
        <v>260</v>
      </c>
      <c r="D14" s="5" t="s">
        <v>261</v>
      </c>
      <c r="G14" s="5" t="s">
        <v>27</v>
      </c>
      <c r="H14" s="4">
        <v>146878.60999999999</v>
      </c>
      <c r="I14" s="5" t="s">
        <v>27</v>
      </c>
      <c r="J14" s="4">
        <v>153947.72</v>
      </c>
      <c r="K14" s="5" t="s">
        <v>179</v>
      </c>
      <c r="L14" s="5" t="s">
        <v>27</v>
      </c>
      <c r="M14" s="4">
        <v>153947.72</v>
      </c>
      <c r="N14" s="4"/>
    </row>
    <row r="15" spans="1:14">
      <c r="A15" s="6">
        <v>112</v>
      </c>
      <c r="B15" s="5" t="s">
        <v>305</v>
      </c>
      <c r="C15" s="5" t="s">
        <v>178</v>
      </c>
      <c r="D15" s="5" t="s">
        <v>177</v>
      </c>
      <c r="G15" s="5" t="s">
        <v>27</v>
      </c>
      <c r="H15" s="4">
        <v>173328.16</v>
      </c>
      <c r="I15" s="5" t="s">
        <v>27</v>
      </c>
      <c r="J15" s="4">
        <v>191463.44</v>
      </c>
      <c r="K15" s="5" t="s">
        <v>176</v>
      </c>
      <c r="L15" s="5" t="s">
        <v>27</v>
      </c>
      <c r="M15" s="4">
        <v>191463.44</v>
      </c>
      <c r="N15" s="4"/>
    </row>
    <row r="16" spans="1:14">
      <c r="A16" s="6">
        <v>112</v>
      </c>
      <c r="B16" s="5" t="s">
        <v>305</v>
      </c>
      <c r="C16" s="5" t="s">
        <v>314</v>
      </c>
      <c r="D16" s="5" t="s">
        <v>315</v>
      </c>
      <c r="G16" s="5" t="s">
        <v>27</v>
      </c>
      <c r="H16" s="4">
        <v>701.76</v>
      </c>
      <c r="I16" s="5" t="s">
        <v>27</v>
      </c>
      <c r="J16" s="4">
        <v>701.76</v>
      </c>
      <c r="K16" s="5"/>
      <c r="L16" s="5" t="s">
        <v>27</v>
      </c>
      <c r="M16" s="4">
        <v>701.76</v>
      </c>
      <c r="N16" s="4"/>
    </row>
    <row r="17" spans="1:14">
      <c r="A17" s="6">
        <v>112</v>
      </c>
      <c r="B17" s="5" t="s">
        <v>305</v>
      </c>
      <c r="C17" s="5" t="s">
        <v>316</v>
      </c>
      <c r="D17" s="5" t="s">
        <v>317</v>
      </c>
      <c r="G17" s="5" t="s">
        <v>27</v>
      </c>
      <c r="H17" s="4">
        <v>701.76</v>
      </c>
      <c r="I17" s="5" t="s">
        <v>27</v>
      </c>
      <c r="J17" s="4">
        <v>701.76</v>
      </c>
      <c r="K17" s="5"/>
      <c r="L17" s="5" t="s">
        <v>27</v>
      </c>
      <c r="M17" s="4">
        <v>701.76</v>
      </c>
      <c r="N17" s="4"/>
    </row>
    <row r="18" spans="1:14">
      <c r="A18" s="6">
        <v>112</v>
      </c>
      <c r="B18" s="5" t="s">
        <v>305</v>
      </c>
      <c r="C18" s="5" t="s">
        <v>318</v>
      </c>
      <c r="D18" s="5" t="s">
        <v>319</v>
      </c>
      <c r="G18" s="5" t="s">
        <v>27</v>
      </c>
      <c r="H18" s="4">
        <v>701.76</v>
      </c>
      <c r="I18" s="5" t="s">
        <v>27</v>
      </c>
      <c r="J18" s="4">
        <v>701.76</v>
      </c>
      <c r="K18" s="5"/>
      <c r="L18" s="5" t="s">
        <v>27</v>
      </c>
      <c r="M18" s="4">
        <v>701.76</v>
      </c>
      <c r="N18" s="4"/>
    </row>
    <row r="19" spans="1:14">
      <c r="A19" s="6">
        <v>112</v>
      </c>
      <c r="B19" s="5" t="s">
        <v>305</v>
      </c>
      <c r="C19" s="5" t="s">
        <v>320</v>
      </c>
      <c r="D19" s="5" t="s">
        <v>321</v>
      </c>
      <c r="G19" s="5" t="s">
        <v>27</v>
      </c>
      <c r="H19" s="4">
        <v>645.80999999999995</v>
      </c>
      <c r="I19" s="5" t="s">
        <v>27</v>
      </c>
      <c r="J19" s="4">
        <v>3602.11</v>
      </c>
      <c r="K19" s="5" t="s">
        <v>14</v>
      </c>
      <c r="L19" s="5"/>
      <c r="M19" s="4">
        <v>0</v>
      </c>
      <c r="N19" s="3">
        <v>100</v>
      </c>
    </row>
    <row r="20" spans="1:14">
      <c r="A20" s="6">
        <v>112</v>
      </c>
      <c r="B20" s="5" t="s">
        <v>305</v>
      </c>
      <c r="C20" s="5" t="s">
        <v>322</v>
      </c>
      <c r="D20" s="5" t="s">
        <v>323</v>
      </c>
      <c r="G20" s="5" t="s">
        <v>27</v>
      </c>
      <c r="H20" s="4">
        <v>645.80999999999995</v>
      </c>
      <c r="I20" s="5" t="s">
        <v>27</v>
      </c>
      <c r="J20" s="4">
        <v>3602.11</v>
      </c>
      <c r="K20" s="5" t="s">
        <v>14</v>
      </c>
      <c r="L20" s="5"/>
      <c r="M20" s="4">
        <v>0</v>
      </c>
      <c r="N20" s="3">
        <v>100</v>
      </c>
    </row>
    <row r="21" spans="1:14">
      <c r="A21" s="6">
        <v>112</v>
      </c>
      <c r="B21" s="5" t="s">
        <v>305</v>
      </c>
      <c r="C21" s="5" t="s">
        <v>324</v>
      </c>
      <c r="D21" s="5" t="s">
        <v>325</v>
      </c>
      <c r="G21" s="5" t="s">
        <v>27</v>
      </c>
      <c r="H21" s="4">
        <v>116575</v>
      </c>
      <c r="I21" s="5" t="s">
        <v>27</v>
      </c>
      <c r="J21" s="4">
        <v>11275</v>
      </c>
      <c r="K21" s="5" t="s">
        <v>22</v>
      </c>
      <c r="L21" s="5" t="s">
        <v>27</v>
      </c>
      <c r="M21" s="4">
        <v>24450</v>
      </c>
      <c r="N21" s="3">
        <v>-53.884999999999998</v>
      </c>
    </row>
    <row r="22" spans="1:14">
      <c r="A22" s="6">
        <v>112</v>
      </c>
      <c r="B22" s="5" t="s">
        <v>305</v>
      </c>
      <c r="C22" s="5" t="s">
        <v>326</v>
      </c>
      <c r="D22" s="5" t="s">
        <v>327</v>
      </c>
      <c r="G22" s="5" t="s">
        <v>27</v>
      </c>
      <c r="H22" s="4">
        <v>116575</v>
      </c>
      <c r="I22" s="5" t="s">
        <v>27</v>
      </c>
      <c r="J22" s="4">
        <v>11275</v>
      </c>
      <c r="K22" s="5" t="s">
        <v>22</v>
      </c>
      <c r="L22" s="5" t="s">
        <v>27</v>
      </c>
      <c r="M22" s="4">
        <v>24450</v>
      </c>
      <c r="N22" s="3">
        <v>-53.884999999999998</v>
      </c>
    </row>
    <row r="23" spans="1:14">
      <c r="A23" s="6">
        <v>112</v>
      </c>
      <c r="B23" s="5" t="s">
        <v>305</v>
      </c>
      <c r="C23" s="5" t="s">
        <v>126</v>
      </c>
      <c r="D23" s="5" t="s">
        <v>125</v>
      </c>
      <c r="G23" s="5" t="s">
        <v>27</v>
      </c>
      <c r="H23" s="4">
        <v>117220.81</v>
      </c>
      <c r="I23" s="5" t="s">
        <v>27</v>
      </c>
      <c r="J23" s="4">
        <v>14877.11</v>
      </c>
      <c r="K23" s="5" t="s">
        <v>175</v>
      </c>
      <c r="L23" s="5" t="s">
        <v>27</v>
      </c>
      <c r="M23" s="4">
        <v>24450</v>
      </c>
      <c r="N23" s="3">
        <v>-39.152000000000001</v>
      </c>
    </row>
    <row r="24" spans="1:14">
      <c r="A24" s="6">
        <v>112</v>
      </c>
      <c r="B24" s="5" t="s">
        <v>305</v>
      </c>
      <c r="C24" s="5" t="s">
        <v>174</v>
      </c>
      <c r="D24" s="5" t="s">
        <v>173</v>
      </c>
      <c r="G24" s="5" t="s">
        <v>27</v>
      </c>
      <c r="H24" s="4">
        <v>43862.5</v>
      </c>
      <c r="I24" s="5" t="s">
        <v>27</v>
      </c>
      <c r="J24" s="4">
        <v>55359.05</v>
      </c>
      <c r="K24" s="5" t="s">
        <v>172</v>
      </c>
      <c r="L24" s="5" t="s">
        <v>27</v>
      </c>
      <c r="M24" s="4">
        <v>269974.40999999997</v>
      </c>
      <c r="N24" s="3">
        <v>-79.494</v>
      </c>
    </row>
    <row r="25" spans="1:14">
      <c r="A25" s="6">
        <v>112</v>
      </c>
      <c r="B25" s="5" t="s">
        <v>305</v>
      </c>
      <c r="C25" s="5" t="s">
        <v>262</v>
      </c>
      <c r="D25" s="5" t="s">
        <v>328</v>
      </c>
      <c r="G25" s="5" t="s">
        <v>27</v>
      </c>
      <c r="H25" s="4">
        <v>45588.94</v>
      </c>
      <c r="I25" s="5" t="s">
        <v>27</v>
      </c>
      <c r="J25" s="4">
        <v>45588.94</v>
      </c>
      <c r="K25" s="5"/>
      <c r="L25" s="5" t="s">
        <v>27</v>
      </c>
      <c r="M25" s="4">
        <v>45588.94</v>
      </c>
      <c r="N25" s="4"/>
    </row>
    <row r="26" spans="1:14">
      <c r="A26" s="6">
        <v>112</v>
      </c>
      <c r="B26" s="5" t="s">
        <v>305</v>
      </c>
      <c r="C26" s="5" t="s">
        <v>329</v>
      </c>
      <c r="D26" s="5" t="s">
        <v>330</v>
      </c>
      <c r="G26" s="5" t="s">
        <v>27</v>
      </c>
      <c r="H26" s="4">
        <v>50973</v>
      </c>
      <c r="I26" s="5" t="s">
        <v>27</v>
      </c>
      <c r="J26" s="4">
        <v>54731.22</v>
      </c>
      <c r="K26" s="5" t="s">
        <v>171</v>
      </c>
      <c r="L26" s="5" t="s">
        <v>27</v>
      </c>
      <c r="M26" s="4">
        <v>58050.13</v>
      </c>
      <c r="N26" s="3">
        <v>-5.7169999999999996</v>
      </c>
    </row>
    <row r="27" spans="1:14">
      <c r="A27" s="6">
        <v>112</v>
      </c>
      <c r="B27" s="5" t="s">
        <v>305</v>
      </c>
      <c r="C27" s="5" t="s">
        <v>170</v>
      </c>
      <c r="D27" s="5" t="s">
        <v>168</v>
      </c>
      <c r="G27" s="5" t="s">
        <v>27</v>
      </c>
      <c r="H27" s="4">
        <v>96561.94</v>
      </c>
      <c r="I27" s="5" t="s">
        <v>27</v>
      </c>
      <c r="J27" s="4">
        <v>100320.16</v>
      </c>
      <c r="K27" s="5" t="s">
        <v>167</v>
      </c>
      <c r="L27" s="5" t="s">
        <v>27</v>
      </c>
      <c r="M27" s="4">
        <v>103639.07</v>
      </c>
      <c r="N27" s="3">
        <v>-3.202</v>
      </c>
    </row>
    <row r="28" spans="1:14">
      <c r="A28" s="6">
        <v>112</v>
      </c>
      <c r="B28" s="5" t="s">
        <v>305</v>
      </c>
      <c r="C28" s="5" t="s">
        <v>169</v>
      </c>
      <c r="D28" s="5" t="s">
        <v>168</v>
      </c>
      <c r="G28" s="5" t="s">
        <v>27</v>
      </c>
      <c r="H28" s="4">
        <v>96561.94</v>
      </c>
      <c r="I28" s="5" t="s">
        <v>27</v>
      </c>
      <c r="J28" s="4">
        <v>100320.16</v>
      </c>
      <c r="K28" s="5" t="s">
        <v>167</v>
      </c>
      <c r="L28" s="5" t="s">
        <v>27</v>
      </c>
      <c r="M28" s="4">
        <v>103639.07</v>
      </c>
      <c r="N28" s="3">
        <v>-3.202</v>
      </c>
    </row>
    <row r="29" spans="1:14">
      <c r="A29" s="6">
        <v>112</v>
      </c>
      <c r="B29" s="5" t="s">
        <v>305</v>
      </c>
      <c r="C29" s="5" t="s">
        <v>331</v>
      </c>
      <c r="D29" s="5" t="s">
        <v>332</v>
      </c>
      <c r="G29" s="5" t="s">
        <v>27</v>
      </c>
      <c r="H29" s="4">
        <v>31821.759999999998</v>
      </c>
      <c r="I29" s="5" t="s">
        <v>27</v>
      </c>
      <c r="J29" s="4">
        <v>23680.13</v>
      </c>
      <c r="K29" s="5" t="s">
        <v>166</v>
      </c>
      <c r="L29" s="5" t="s">
        <v>27</v>
      </c>
      <c r="M29" s="4">
        <v>23680.13</v>
      </c>
      <c r="N29" s="4"/>
    </row>
    <row r="30" spans="1:14">
      <c r="A30" s="6">
        <v>112</v>
      </c>
      <c r="B30" s="5" t="s">
        <v>305</v>
      </c>
      <c r="C30" s="5" t="s">
        <v>333</v>
      </c>
      <c r="D30" s="5" t="s">
        <v>334</v>
      </c>
      <c r="G30" s="5" t="s">
        <v>27</v>
      </c>
      <c r="H30" s="4">
        <v>0</v>
      </c>
      <c r="I30" s="5"/>
      <c r="J30" s="4">
        <v>0</v>
      </c>
      <c r="K30" s="5"/>
      <c r="L30" s="5" t="s">
        <v>27</v>
      </c>
      <c r="M30" s="4">
        <v>730.55</v>
      </c>
      <c r="N30" s="3">
        <v>-100</v>
      </c>
    </row>
    <row r="31" spans="1:14">
      <c r="A31" s="6">
        <v>112</v>
      </c>
      <c r="B31" s="5" t="s">
        <v>305</v>
      </c>
      <c r="C31" s="5" t="s">
        <v>335</v>
      </c>
      <c r="D31" s="5" t="s">
        <v>336</v>
      </c>
      <c r="G31" s="5" t="s">
        <v>27</v>
      </c>
      <c r="H31" s="4">
        <v>10126</v>
      </c>
      <c r="I31" s="5" t="s">
        <v>27</v>
      </c>
      <c r="J31" s="4">
        <v>8739</v>
      </c>
      <c r="K31" s="5" t="s">
        <v>165</v>
      </c>
      <c r="L31" s="5" t="s">
        <v>27</v>
      </c>
      <c r="M31" s="4">
        <v>10047</v>
      </c>
      <c r="N31" s="3">
        <v>-13.018000000000001</v>
      </c>
    </row>
    <row r="32" spans="1:14">
      <c r="A32" s="6">
        <v>112</v>
      </c>
      <c r="B32" s="5" t="s">
        <v>305</v>
      </c>
      <c r="C32" s="5" t="s">
        <v>337</v>
      </c>
      <c r="D32" s="5" t="s">
        <v>338</v>
      </c>
      <c r="G32" s="5" t="s">
        <v>27</v>
      </c>
      <c r="H32" s="4">
        <v>13585.71</v>
      </c>
      <c r="I32" s="5" t="s">
        <v>27</v>
      </c>
      <c r="J32" s="4">
        <v>25784.66</v>
      </c>
      <c r="K32" s="5" t="s">
        <v>164</v>
      </c>
      <c r="L32" s="5" t="s">
        <v>27</v>
      </c>
      <c r="M32" s="4">
        <v>14167.7</v>
      </c>
      <c r="N32" s="3">
        <v>81.995999999999995</v>
      </c>
    </row>
    <row r="33" spans="1:14">
      <c r="A33" s="6">
        <v>112</v>
      </c>
      <c r="B33" s="5" t="s">
        <v>305</v>
      </c>
      <c r="C33" s="5" t="s">
        <v>339</v>
      </c>
      <c r="D33" s="5" t="s">
        <v>340</v>
      </c>
      <c r="G33" s="5" t="s">
        <v>27</v>
      </c>
      <c r="H33" s="4">
        <v>65.930000000000007</v>
      </c>
      <c r="I33" s="5" t="s">
        <v>27</v>
      </c>
      <c r="J33" s="4">
        <v>138.86000000000001</v>
      </c>
      <c r="K33" s="5" t="s">
        <v>163</v>
      </c>
      <c r="L33" s="5"/>
      <c r="M33" s="4">
        <v>0</v>
      </c>
      <c r="N33" s="3">
        <v>100</v>
      </c>
    </row>
    <row r="34" spans="1:14">
      <c r="A34" s="6">
        <v>112</v>
      </c>
      <c r="B34" s="5" t="s">
        <v>305</v>
      </c>
      <c r="C34" s="5" t="s">
        <v>341</v>
      </c>
      <c r="D34" s="5" t="s">
        <v>342</v>
      </c>
      <c r="G34" s="5" t="s">
        <v>27</v>
      </c>
      <c r="H34" s="4">
        <v>497.64</v>
      </c>
      <c r="I34" s="5" t="s">
        <v>27</v>
      </c>
      <c r="J34" s="4">
        <v>24</v>
      </c>
      <c r="K34" s="5" t="s">
        <v>37</v>
      </c>
      <c r="L34" s="5"/>
      <c r="M34" s="4">
        <v>0</v>
      </c>
      <c r="N34" s="3">
        <v>100</v>
      </c>
    </row>
    <row r="35" spans="1:14">
      <c r="A35" s="6">
        <v>112</v>
      </c>
      <c r="B35" s="5" t="s">
        <v>305</v>
      </c>
      <c r="C35" s="5" t="s">
        <v>343</v>
      </c>
      <c r="D35" s="5" t="s">
        <v>344</v>
      </c>
      <c r="G35" s="5" t="s">
        <v>27</v>
      </c>
      <c r="H35" s="4">
        <v>11517.9</v>
      </c>
      <c r="I35" s="5" t="s">
        <v>27</v>
      </c>
      <c r="J35" s="4">
        <v>11212.2</v>
      </c>
      <c r="K35" s="5" t="s">
        <v>162</v>
      </c>
      <c r="L35" s="5"/>
      <c r="M35" s="4">
        <v>0</v>
      </c>
      <c r="N35" s="3">
        <v>100</v>
      </c>
    </row>
    <row r="36" spans="1:14">
      <c r="A36" s="6">
        <v>112</v>
      </c>
      <c r="B36" s="5" t="s">
        <v>305</v>
      </c>
      <c r="C36" s="5" t="s">
        <v>345</v>
      </c>
      <c r="D36" s="5" t="s">
        <v>344</v>
      </c>
      <c r="G36" s="5" t="s">
        <v>27</v>
      </c>
      <c r="H36" s="4">
        <v>35165.1</v>
      </c>
      <c r="I36" s="5" t="s">
        <v>27</v>
      </c>
      <c r="J36" s="4">
        <v>23952.9</v>
      </c>
      <c r="K36" s="5" t="s">
        <v>161</v>
      </c>
      <c r="L36" s="5" t="s">
        <v>27</v>
      </c>
      <c r="M36" s="4">
        <v>23952.9</v>
      </c>
      <c r="N36" s="4"/>
    </row>
    <row r="37" spans="1:14">
      <c r="A37" s="6">
        <v>112</v>
      </c>
      <c r="B37" s="5" t="s">
        <v>305</v>
      </c>
      <c r="C37" s="5" t="s">
        <v>124</v>
      </c>
      <c r="D37" s="5" t="s">
        <v>123</v>
      </c>
      <c r="G37" s="5" t="s">
        <v>27</v>
      </c>
      <c r="H37" s="4">
        <v>102780.04</v>
      </c>
      <c r="I37" s="5" t="s">
        <v>27</v>
      </c>
      <c r="J37" s="4">
        <v>93531.75</v>
      </c>
      <c r="K37" s="5" t="s">
        <v>160</v>
      </c>
      <c r="L37" s="5" t="s">
        <v>27</v>
      </c>
      <c r="M37" s="4">
        <v>72578.28</v>
      </c>
      <c r="N37" s="3">
        <v>28.87</v>
      </c>
    </row>
    <row r="38" spans="1:14">
      <c r="A38" s="6">
        <v>112</v>
      </c>
      <c r="B38" s="5" t="s">
        <v>305</v>
      </c>
      <c r="C38" s="5" t="s">
        <v>346</v>
      </c>
      <c r="D38" s="5" t="s">
        <v>347</v>
      </c>
      <c r="G38" s="5" t="s">
        <v>27</v>
      </c>
      <c r="H38" s="4">
        <v>447.84</v>
      </c>
      <c r="I38" s="5"/>
      <c r="J38" s="4">
        <v>0</v>
      </c>
      <c r="K38" s="5" t="s">
        <v>18</v>
      </c>
      <c r="L38" s="5"/>
      <c r="M38" s="4">
        <v>0</v>
      </c>
      <c r="N38" s="4"/>
    </row>
    <row r="39" spans="1:14">
      <c r="A39" s="6">
        <v>112</v>
      </c>
      <c r="B39" s="5" t="s">
        <v>305</v>
      </c>
      <c r="C39" s="5" t="s">
        <v>348</v>
      </c>
      <c r="D39" s="5" t="s">
        <v>349</v>
      </c>
      <c r="G39" s="5" t="s">
        <v>27</v>
      </c>
      <c r="H39" s="4">
        <v>447.84</v>
      </c>
      <c r="I39" s="5"/>
      <c r="J39" s="4">
        <v>0</v>
      </c>
      <c r="K39" s="5" t="s">
        <v>18</v>
      </c>
      <c r="L39" s="5"/>
      <c r="M39" s="4">
        <v>0</v>
      </c>
      <c r="N39" s="4"/>
    </row>
    <row r="40" spans="1:14">
      <c r="A40" s="6">
        <v>112</v>
      </c>
      <c r="B40" s="5" t="s">
        <v>305</v>
      </c>
      <c r="C40" s="5" t="s">
        <v>283</v>
      </c>
      <c r="D40" s="5" t="s">
        <v>284</v>
      </c>
      <c r="G40" s="5" t="s">
        <v>27</v>
      </c>
      <c r="H40" s="4">
        <v>0</v>
      </c>
      <c r="I40" s="5"/>
      <c r="J40" s="4">
        <v>0</v>
      </c>
      <c r="K40" s="5"/>
      <c r="L40" s="5" t="s">
        <v>27</v>
      </c>
      <c r="M40" s="4">
        <v>32.5</v>
      </c>
      <c r="N40" s="3">
        <v>-100</v>
      </c>
    </row>
    <row r="41" spans="1:14">
      <c r="A41" s="6">
        <v>112</v>
      </c>
      <c r="B41" s="5" t="s">
        <v>305</v>
      </c>
      <c r="C41" s="5" t="s">
        <v>263</v>
      </c>
      <c r="D41" s="5" t="s">
        <v>350</v>
      </c>
      <c r="G41" s="5" t="s">
        <v>27</v>
      </c>
      <c r="H41" s="4">
        <v>166314.45000000001</v>
      </c>
      <c r="I41" s="5" t="s">
        <v>27</v>
      </c>
      <c r="J41" s="4">
        <v>220885.58</v>
      </c>
      <c r="K41" s="5" t="s">
        <v>159</v>
      </c>
      <c r="L41" s="5" t="s">
        <v>27</v>
      </c>
      <c r="M41" s="4">
        <v>220885.58</v>
      </c>
      <c r="N41" s="4"/>
    </row>
    <row r="42" spans="1:14">
      <c r="A42" s="6">
        <v>112</v>
      </c>
      <c r="B42" s="5" t="s">
        <v>305</v>
      </c>
      <c r="C42" s="5" t="s">
        <v>264</v>
      </c>
      <c r="D42" s="5" t="s">
        <v>351</v>
      </c>
      <c r="G42" s="5" t="s">
        <v>27</v>
      </c>
      <c r="H42" s="4">
        <v>185467.35</v>
      </c>
      <c r="I42" s="5" t="s">
        <v>27</v>
      </c>
      <c r="J42" s="4">
        <v>233862.16</v>
      </c>
      <c r="K42" s="5" t="s">
        <v>158</v>
      </c>
      <c r="L42" s="5" t="s">
        <v>27</v>
      </c>
      <c r="M42" s="4">
        <v>237619.08</v>
      </c>
      <c r="N42" s="3">
        <v>-1.581</v>
      </c>
    </row>
    <row r="43" spans="1:14">
      <c r="A43" s="6">
        <v>112</v>
      </c>
      <c r="B43" s="5" t="s">
        <v>305</v>
      </c>
      <c r="C43" s="5" t="s">
        <v>265</v>
      </c>
      <c r="D43" s="5" t="s">
        <v>352</v>
      </c>
      <c r="G43" s="5" t="s">
        <v>27</v>
      </c>
      <c r="H43" s="4">
        <v>79939.06</v>
      </c>
      <c r="I43" s="5" t="s">
        <v>27</v>
      </c>
      <c r="J43" s="4">
        <v>115511.77</v>
      </c>
      <c r="K43" s="5" t="s">
        <v>157</v>
      </c>
      <c r="L43" s="5" t="s">
        <v>27</v>
      </c>
      <c r="M43" s="4">
        <v>115511.77</v>
      </c>
      <c r="N43" s="4"/>
    </row>
    <row r="44" spans="1:14">
      <c r="A44" s="6">
        <v>112</v>
      </c>
      <c r="B44" s="5" t="s">
        <v>305</v>
      </c>
      <c r="C44" s="5" t="s">
        <v>266</v>
      </c>
      <c r="D44" s="5" t="s">
        <v>353</v>
      </c>
      <c r="G44" s="5" t="s">
        <v>27</v>
      </c>
      <c r="H44" s="4">
        <v>142401.22</v>
      </c>
      <c r="I44" s="5" t="s">
        <v>27</v>
      </c>
      <c r="J44" s="4">
        <v>187490.86</v>
      </c>
      <c r="K44" s="5" t="s">
        <v>156</v>
      </c>
      <c r="L44" s="5" t="s">
        <v>27</v>
      </c>
      <c r="M44" s="4">
        <v>192465.86</v>
      </c>
      <c r="N44" s="3">
        <v>-2.5840000000000001</v>
      </c>
    </row>
    <row r="45" spans="1:14">
      <c r="A45" s="6">
        <v>112</v>
      </c>
      <c r="B45" s="5" t="s">
        <v>305</v>
      </c>
      <c r="C45" s="5" t="s">
        <v>267</v>
      </c>
      <c r="D45" s="5" t="s">
        <v>354</v>
      </c>
      <c r="G45" s="5" t="s">
        <v>27</v>
      </c>
      <c r="H45" s="4">
        <v>52824.04</v>
      </c>
      <c r="I45" s="5" t="s">
        <v>27</v>
      </c>
      <c r="J45" s="4">
        <v>67523.149999999994</v>
      </c>
      <c r="K45" s="5" t="s">
        <v>155</v>
      </c>
      <c r="L45" s="5" t="s">
        <v>27</v>
      </c>
      <c r="M45" s="4">
        <v>69037.320000000007</v>
      </c>
      <c r="N45" s="3">
        <v>-2.1930000000000001</v>
      </c>
    </row>
    <row r="46" spans="1:14">
      <c r="A46" s="6">
        <v>112</v>
      </c>
      <c r="B46" s="5" t="s">
        <v>305</v>
      </c>
      <c r="C46" s="5" t="s">
        <v>268</v>
      </c>
      <c r="D46" s="5" t="s">
        <v>269</v>
      </c>
      <c r="G46" s="5" t="s">
        <v>27</v>
      </c>
      <c r="H46" s="4">
        <v>626946.12</v>
      </c>
      <c r="I46" s="5" t="s">
        <v>27</v>
      </c>
      <c r="J46" s="4">
        <v>825273.52</v>
      </c>
      <c r="K46" s="5" t="s">
        <v>154</v>
      </c>
      <c r="L46" s="5" t="s">
        <v>27</v>
      </c>
      <c r="M46" s="4">
        <v>835552.11</v>
      </c>
      <c r="N46" s="3">
        <v>-1.23</v>
      </c>
    </row>
    <row r="47" spans="1:14">
      <c r="A47" s="6">
        <v>112</v>
      </c>
      <c r="B47" s="5" t="s">
        <v>305</v>
      </c>
      <c r="C47" s="5" t="s">
        <v>355</v>
      </c>
      <c r="D47" s="5" t="s">
        <v>356</v>
      </c>
      <c r="G47" s="5" t="s">
        <v>27</v>
      </c>
      <c r="H47" s="4">
        <v>0</v>
      </c>
      <c r="I47" s="5"/>
      <c r="J47" s="4">
        <v>0</v>
      </c>
      <c r="K47" s="5"/>
      <c r="L47" s="5" t="s">
        <v>27</v>
      </c>
      <c r="M47" s="4">
        <v>415.29</v>
      </c>
      <c r="N47" s="3">
        <v>-100</v>
      </c>
    </row>
    <row r="48" spans="1:14">
      <c r="A48" s="6">
        <v>112</v>
      </c>
      <c r="B48" s="5" t="s">
        <v>305</v>
      </c>
      <c r="C48" s="5" t="s">
        <v>357</v>
      </c>
      <c r="D48" s="5" t="s">
        <v>358</v>
      </c>
      <c r="G48" s="5" t="s">
        <v>27</v>
      </c>
      <c r="H48" s="4">
        <v>0</v>
      </c>
      <c r="I48" s="5"/>
      <c r="J48" s="4">
        <v>0</v>
      </c>
      <c r="K48" s="5"/>
      <c r="L48" s="5" t="s">
        <v>27</v>
      </c>
      <c r="M48" s="4">
        <v>6003.44</v>
      </c>
      <c r="N48" s="3">
        <v>-100</v>
      </c>
    </row>
    <row r="49" spans="1:16">
      <c r="A49" s="6">
        <v>112</v>
      </c>
      <c r="B49" s="5" t="s">
        <v>305</v>
      </c>
      <c r="C49" s="5" t="s">
        <v>359</v>
      </c>
      <c r="D49" s="5" t="s">
        <v>360</v>
      </c>
      <c r="G49" s="5" t="s">
        <v>27</v>
      </c>
      <c r="H49" s="4">
        <v>0</v>
      </c>
      <c r="I49" s="5"/>
      <c r="J49" s="4">
        <v>0</v>
      </c>
      <c r="K49" s="5"/>
      <c r="L49" s="5" t="s">
        <v>27</v>
      </c>
      <c r="M49" s="4">
        <v>6418.73</v>
      </c>
      <c r="N49" s="3">
        <v>-100</v>
      </c>
    </row>
    <row r="50" spans="1:16">
      <c r="A50" s="6">
        <v>112</v>
      </c>
      <c r="B50" s="5" t="s">
        <v>305</v>
      </c>
      <c r="C50" s="5" t="s">
        <v>361</v>
      </c>
      <c r="D50" s="5" t="s">
        <v>362</v>
      </c>
      <c r="G50" s="5" t="s">
        <v>27</v>
      </c>
      <c r="H50" s="4">
        <v>5424.36</v>
      </c>
      <c r="I50" s="5"/>
      <c r="J50" s="4">
        <v>0</v>
      </c>
      <c r="K50" s="5" t="s">
        <v>18</v>
      </c>
      <c r="L50" s="5"/>
      <c r="M50" s="4">
        <v>0</v>
      </c>
      <c r="N50" s="4"/>
    </row>
    <row r="51" spans="1:16">
      <c r="A51" s="6">
        <v>112</v>
      </c>
      <c r="B51" s="5" t="s">
        <v>305</v>
      </c>
      <c r="C51" s="5" t="s">
        <v>363</v>
      </c>
      <c r="D51" s="5" t="s">
        <v>364</v>
      </c>
      <c r="G51" s="5" t="s">
        <v>27</v>
      </c>
      <c r="H51" s="4">
        <v>11707.77</v>
      </c>
      <c r="I51" s="5" t="s">
        <v>27</v>
      </c>
      <c r="J51" s="4">
        <v>11707.77</v>
      </c>
      <c r="K51" s="5"/>
      <c r="L51" s="5" t="s">
        <v>27</v>
      </c>
      <c r="M51" s="4">
        <v>11707.77</v>
      </c>
      <c r="N51" s="4"/>
    </row>
    <row r="52" spans="1:16">
      <c r="A52" s="6">
        <v>112</v>
      </c>
      <c r="B52" s="5" t="s">
        <v>305</v>
      </c>
      <c r="C52" s="5" t="s">
        <v>365</v>
      </c>
      <c r="D52" s="5" t="s">
        <v>366</v>
      </c>
      <c r="G52" s="5" t="s">
        <v>27</v>
      </c>
      <c r="H52" s="4">
        <v>17132.13</v>
      </c>
      <c r="I52" s="5" t="s">
        <v>27</v>
      </c>
      <c r="J52" s="4">
        <v>11707.77</v>
      </c>
      <c r="K52" s="5" t="s">
        <v>153</v>
      </c>
      <c r="L52" s="5" t="s">
        <v>27</v>
      </c>
      <c r="M52" s="4">
        <v>11707.77</v>
      </c>
      <c r="N52" s="4"/>
    </row>
    <row r="53" spans="1:16">
      <c r="A53" s="6">
        <v>112</v>
      </c>
      <c r="B53" s="5" t="s">
        <v>305</v>
      </c>
      <c r="C53" s="5" t="s">
        <v>122</v>
      </c>
      <c r="D53" s="5" t="s">
        <v>121</v>
      </c>
      <c r="G53" s="5" t="s">
        <v>27</v>
      </c>
      <c r="H53" s="4">
        <v>747306.13</v>
      </c>
      <c r="I53" s="5" t="s">
        <v>27</v>
      </c>
      <c r="J53" s="4">
        <v>930513.04</v>
      </c>
      <c r="K53" s="5" t="s">
        <v>152</v>
      </c>
      <c r="L53" s="5" t="s">
        <v>27</v>
      </c>
      <c r="M53" s="4">
        <v>926256.89</v>
      </c>
      <c r="N53" s="3">
        <v>0.45900000000000002</v>
      </c>
    </row>
    <row r="54" spans="1:16">
      <c r="A54" s="6">
        <v>112</v>
      </c>
      <c r="B54" s="5" t="s">
        <v>305</v>
      </c>
      <c r="C54" s="5" t="s">
        <v>367</v>
      </c>
      <c r="D54" s="5" t="s">
        <v>368</v>
      </c>
      <c r="G54" s="5" t="s">
        <v>27</v>
      </c>
      <c r="H54" s="4">
        <v>56847.199999999997</v>
      </c>
      <c r="I54" s="5" t="s">
        <v>27</v>
      </c>
      <c r="J54" s="4">
        <v>6348.96</v>
      </c>
      <c r="K54" s="5" t="s">
        <v>151</v>
      </c>
      <c r="L54" s="5"/>
      <c r="M54" s="4">
        <v>0</v>
      </c>
      <c r="N54" s="3">
        <v>100</v>
      </c>
    </row>
    <row r="55" spans="1:16">
      <c r="A55" s="6">
        <v>112</v>
      </c>
      <c r="B55" s="5" t="s">
        <v>305</v>
      </c>
      <c r="C55" s="5" t="s">
        <v>369</v>
      </c>
      <c r="D55" s="5" t="s">
        <v>120</v>
      </c>
      <c r="G55" s="5" t="s">
        <v>27</v>
      </c>
      <c r="H55" s="4">
        <v>0</v>
      </c>
      <c r="I55" s="5" t="s">
        <v>27</v>
      </c>
      <c r="J55" s="4">
        <v>377.82</v>
      </c>
      <c r="K55" s="5" t="s">
        <v>19</v>
      </c>
      <c r="L55" s="5"/>
      <c r="M55" s="4">
        <v>0</v>
      </c>
      <c r="N55" s="3">
        <v>100</v>
      </c>
    </row>
    <row r="56" spans="1:16">
      <c r="A56" s="6">
        <v>112</v>
      </c>
      <c r="B56" s="5" t="s">
        <v>305</v>
      </c>
      <c r="C56" s="5" t="s">
        <v>119</v>
      </c>
      <c r="D56" s="5" t="s">
        <v>118</v>
      </c>
      <c r="G56" s="5" t="s">
        <v>27</v>
      </c>
      <c r="H56" s="4">
        <v>56847.199999999997</v>
      </c>
      <c r="I56" s="5" t="s">
        <v>27</v>
      </c>
      <c r="J56" s="4">
        <v>6726.78</v>
      </c>
      <c r="K56" s="5" t="s">
        <v>150</v>
      </c>
      <c r="L56" s="5"/>
      <c r="M56" s="4">
        <v>0</v>
      </c>
      <c r="N56" s="3">
        <v>100</v>
      </c>
    </row>
    <row r="57" spans="1:16">
      <c r="A57" s="6">
        <v>112</v>
      </c>
      <c r="B57" s="5" t="s">
        <v>305</v>
      </c>
      <c r="C57" s="5" t="s">
        <v>149</v>
      </c>
      <c r="D57" s="5" t="s">
        <v>148</v>
      </c>
      <c r="G57" s="5" t="s">
        <v>27</v>
      </c>
      <c r="H57" s="4">
        <v>28.97</v>
      </c>
      <c r="I57" s="5" t="s">
        <v>27</v>
      </c>
      <c r="J57" s="4">
        <v>14.48</v>
      </c>
      <c r="K57" s="5" t="s">
        <v>145</v>
      </c>
      <c r="L57" s="5" t="s">
        <v>27</v>
      </c>
      <c r="M57" s="4">
        <v>814.48</v>
      </c>
      <c r="N57" s="3">
        <v>-98.221999999999994</v>
      </c>
    </row>
    <row r="58" spans="1:16">
      <c r="A58" s="6">
        <v>112</v>
      </c>
      <c r="B58" s="5" t="s">
        <v>305</v>
      </c>
      <c r="C58" s="5" t="s">
        <v>147</v>
      </c>
      <c r="D58" s="5" t="s">
        <v>146</v>
      </c>
      <c r="G58" s="5" t="s">
        <v>27</v>
      </c>
      <c r="H58" s="4">
        <v>28.97</v>
      </c>
      <c r="I58" s="5" t="s">
        <v>27</v>
      </c>
      <c r="J58" s="4">
        <v>14.48</v>
      </c>
      <c r="K58" s="5" t="s">
        <v>145</v>
      </c>
      <c r="L58" s="5" t="s">
        <v>27</v>
      </c>
      <c r="M58" s="4">
        <v>814.48</v>
      </c>
      <c r="N58" s="3">
        <v>-98.221999999999994</v>
      </c>
    </row>
    <row r="59" spans="1:16">
      <c r="A59" s="6">
        <v>112</v>
      </c>
      <c r="B59" s="5" t="s">
        <v>305</v>
      </c>
      <c r="C59" s="5" t="s">
        <v>117</v>
      </c>
      <c r="D59" s="5" t="s">
        <v>116</v>
      </c>
      <c r="G59" s="5" t="s">
        <v>27</v>
      </c>
      <c r="H59" s="4">
        <v>56876.17</v>
      </c>
      <c r="I59" s="5" t="s">
        <v>27</v>
      </c>
      <c r="J59" s="4">
        <v>6741.26</v>
      </c>
      <c r="K59" s="5" t="s">
        <v>144</v>
      </c>
      <c r="L59" s="5" t="s">
        <v>27</v>
      </c>
      <c r="M59" s="4">
        <v>814.48</v>
      </c>
      <c r="N59" s="3">
        <v>727.67600000000004</v>
      </c>
    </row>
    <row r="60" spans="1:16">
      <c r="A60" s="6">
        <v>112</v>
      </c>
      <c r="B60" s="5" t="s">
        <v>305</v>
      </c>
      <c r="C60" s="5" t="s">
        <v>370</v>
      </c>
      <c r="D60" s="5" t="s">
        <v>371</v>
      </c>
      <c r="G60" s="5" t="s">
        <v>27</v>
      </c>
      <c r="H60" s="4">
        <v>1574.21</v>
      </c>
      <c r="I60" s="5" t="s">
        <v>27</v>
      </c>
      <c r="J60" s="4">
        <v>1655.56</v>
      </c>
      <c r="K60" s="5" t="s">
        <v>143</v>
      </c>
      <c r="L60" s="5" t="s">
        <v>27</v>
      </c>
      <c r="M60" s="4">
        <v>1401.55</v>
      </c>
      <c r="N60" s="3">
        <v>18.123000000000001</v>
      </c>
    </row>
    <row r="61" spans="1:16">
      <c r="A61" s="6">
        <v>112</v>
      </c>
      <c r="B61" s="5" t="s">
        <v>305</v>
      </c>
      <c r="C61" s="5" t="s">
        <v>372</v>
      </c>
      <c r="D61" s="5" t="s">
        <v>371</v>
      </c>
      <c r="G61" s="5" t="s">
        <v>27</v>
      </c>
      <c r="H61" s="4">
        <v>1574.21</v>
      </c>
      <c r="I61" s="5" t="s">
        <v>27</v>
      </c>
      <c r="J61" s="4">
        <v>1655.56</v>
      </c>
      <c r="K61" s="5" t="s">
        <v>143</v>
      </c>
      <c r="L61" s="5" t="s">
        <v>27</v>
      </c>
      <c r="M61" s="4">
        <v>1401.55</v>
      </c>
      <c r="N61" s="3">
        <v>18.123000000000001</v>
      </c>
    </row>
    <row r="62" spans="1:16">
      <c r="A62" s="6">
        <v>112</v>
      </c>
      <c r="B62" s="5" t="s">
        <v>305</v>
      </c>
      <c r="C62" s="5" t="s">
        <v>373</v>
      </c>
      <c r="D62" s="5" t="s">
        <v>374</v>
      </c>
      <c r="G62" s="5" t="s">
        <v>27</v>
      </c>
      <c r="H62" s="4">
        <v>1574.21</v>
      </c>
      <c r="I62" s="5" t="s">
        <v>27</v>
      </c>
      <c r="J62" s="4">
        <v>1655.56</v>
      </c>
      <c r="K62" s="5" t="s">
        <v>143</v>
      </c>
      <c r="L62" s="5" t="s">
        <v>27</v>
      </c>
      <c r="M62" s="4">
        <v>1401.55</v>
      </c>
      <c r="N62" s="3">
        <v>18.123000000000001</v>
      </c>
    </row>
    <row r="63" spans="1:16">
      <c r="A63" s="6">
        <v>112</v>
      </c>
      <c r="B63" s="5" t="s">
        <v>305</v>
      </c>
      <c r="C63" s="5" t="s">
        <v>97</v>
      </c>
      <c r="D63" s="5" t="s">
        <v>96</v>
      </c>
      <c r="G63" s="5" t="s">
        <v>27</v>
      </c>
      <c r="H63" s="4">
        <v>2087.02</v>
      </c>
      <c r="I63" s="5" t="s">
        <v>27</v>
      </c>
      <c r="J63" s="4">
        <v>965.21</v>
      </c>
      <c r="K63" s="5" t="s">
        <v>142</v>
      </c>
      <c r="L63" s="5" t="s">
        <v>27</v>
      </c>
      <c r="M63" s="4">
        <v>1290.75</v>
      </c>
      <c r="N63" s="3">
        <v>-25.22</v>
      </c>
      <c r="P63" s="9"/>
    </row>
    <row r="64" spans="1:16">
      <c r="A64" s="6">
        <v>112</v>
      </c>
      <c r="B64" s="5" t="s">
        <v>305</v>
      </c>
      <c r="C64" s="5" t="s">
        <v>375</v>
      </c>
      <c r="D64" s="5" t="s">
        <v>376</v>
      </c>
      <c r="G64" s="5" t="s">
        <v>27</v>
      </c>
      <c r="H64" s="4">
        <v>239.46</v>
      </c>
      <c r="I64" s="5"/>
      <c r="J64" s="4">
        <v>0</v>
      </c>
      <c r="K64" s="5" t="s">
        <v>18</v>
      </c>
      <c r="L64" s="5"/>
      <c r="M64" s="4">
        <v>0</v>
      </c>
      <c r="N64" s="4"/>
      <c r="P64" s="9"/>
    </row>
    <row r="65" spans="1:16">
      <c r="A65" s="6">
        <v>112</v>
      </c>
      <c r="B65" s="5" t="s">
        <v>305</v>
      </c>
      <c r="C65" s="5" t="s">
        <v>141</v>
      </c>
      <c r="D65" s="5" t="s">
        <v>140</v>
      </c>
      <c r="G65" s="5" t="s">
        <v>27</v>
      </c>
      <c r="H65" s="4">
        <v>32527</v>
      </c>
      <c r="I65" s="5" t="s">
        <v>27</v>
      </c>
      <c r="J65" s="4">
        <v>29576</v>
      </c>
      <c r="K65" s="5" t="s">
        <v>139</v>
      </c>
      <c r="L65" s="5" t="s">
        <v>27</v>
      </c>
      <c r="M65" s="4">
        <v>22274.12</v>
      </c>
      <c r="N65" s="3">
        <v>32.780999999999999</v>
      </c>
      <c r="P65" s="9"/>
    </row>
    <row r="66" spans="1:16">
      <c r="A66" s="6">
        <v>112</v>
      </c>
      <c r="B66" s="5" t="s">
        <v>305</v>
      </c>
      <c r="C66" s="5" t="s">
        <v>87</v>
      </c>
      <c r="D66" s="5" t="s">
        <v>85</v>
      </c>
      <c r="G66" s="5" t="s">
        <v>27</v>
      </c>
      <c r="H66" s="4">
        <v>32766.46</v>
      </c>
      <c r="I66" s="5" t="s">
        <v>27</v>
      </c>
      <c r="J66" s="4">
        <v>29576</v>
      </c>
      <c r="K66" s="5" t="s">
        <v>138</v>
      </c>
      <c r="L66" s="5" t="s">
        <v>27</v>
      </c>
      <c r="M66" s="4">
        <v>22274.12</v>
      </c>
      <c r="N66" s="3">
        <v>32.780999999999999</v>
      </c>
      <c r="P66" s="9"/>
    </row>
    <row r="67" spans="1:16">
      <c r="A67" s="6">
        <v>112</v>
      </c>
      <c r="B67" s="5" t="s">
        <v>305</v>
      </c>
      <c r="C67" s="5" t="s">
        <v>86</v>
      </c>
      <c r="D67" s="5" t="s">
        <v>85</v>
      </c>
      <c r="G67" s="5" t="s">
        <v>27</v>
      </c>
      <c r="H67" s="4">
        <v>32766.46</v>
      </c>
      <c r="I67" s="5" t="s">
        <v>27</v>
      </c>
      <c r="J67" s="4">
        <v>29576</v>
      </c>
      <c r="K67" s="5" t="s">
        <v>138</v>
      </c>
      <c r="L67" s="5" t="s">
        <v>27</v>
      </c>
      <c r="M67" s="4">
        <v>22274.12</v>
      </c>
      <c r="N67" s="3">
        <v>32.780999999999999</v>
      </c>
    </row>
    <row r="68" spans="1:16">
      <c r="A68" s="6">
        <v>112</v>
      </c>
      <c r="B68" s="5" t="s">
        <v>305</v>
      </c>
      <c r="C68" s="5" t="s">
        <v>377</v>
      </c>
      <c r="D68" s="5" t="s">
        <v>378</v>
      </c>
      <c r="G68" s="5" t="s">
        <v>7</v>
      </c>
      <c r="H68" s="4">
        <v>2800</v>
      </c>
      <c r="I68" s="5" t="s">
        <v>7</v>
      </c>
      <c r="J68" s="4">
        <v>2800</v>
      </c>
      <c r="K68" s="5"/>
      <c r="L68" s="5" t="s">
        <v>7</v>
      </c>
      <c r="M68" s="4">
        <v>2800</v>
      </c>
      <c r="N68" s="4"/>
      <c r="P68" s="9"/>
    </row>
    <row r="69" spans="1:16">
      <c r="A69" s="6">
        <v>112</v>
      </c>
      <c r="B69" s="5" t="s">
        <v>305</v>
      </c>
      <c r="C69" s="5" t="s">
        <v>379</v>
      </c>
      <c r="D69" s="5" t="s">
        <v>380</v>
      </c>
      <c r="G69" s="5" t="s">
        <v>7</v>
      </c>
      <c r="H69" s="4">
        <v>2800</v>
      </c>
      <c r="I69" s="5" t="s">
        <v>7</v>
      </c>
      <c r="J69" s="4">
        <v>2800</v>
      </c>
      <c r="K69" s="5"/>
      <c r="L69" s="5" t="s">
        <v>7</v>
      </c>
      <c r="M69" s="4">
        <v>2800</v>
      </c>
      <c r="N69" s="4"/>
      <c r="P69" s="9"/>
    </row>
    <row r="70" spans="1:16">
      <c r="A70" s="6">
        <v>112</v>
      </c>
      <c r="B70" s="5" t="s">
        <v>305</v>
      </c>
      <c r="C70" s="5" t="s">
        <v>381</v>
      </c>
      <c r="D70" s="5" t="s">
        <v>382</v>
      </c>
      <c r="G70" s="5" t="s">
        <v>7</v>
      </c>
      <c r="H70" s="4">
        <v>2800</v>
      </c>
      <c r="I70" s="5" t="s">
        <v>7</v>
      </c>
      <c r="J70" s="4">
        <v>2800</v>
      </c>
      <c r="K70" s="5"/>
      <c r="L70" s="5" t="s">
        <v>7</v>
      </c>
      <c r="M70" s="4">
        <v>2800</v>
      </c>
      <c r="N70" s="4"/>
      <c r="P70" s="9"/>
    </row>
    <row r="71" spans="1:16">
      <c r="A71" s="6">
        <v>112</v>
      </c>
      <c r="B71" s="5" t="s">
        <v>305</v>
      </c>
      <c r="C71" s="5" t="s">
        <v>270</v>
      </c>
      <c r="D71" s="5" t="s">
        <v>271</v>
      </c>
      <c r="G71" s="5" t="s">
        <v>7</v>
      </c>
      <c r="H71" s="4">
        <v>346.75</v>
      </c>
      <c r="I71" s="5" t="s">
        <v>7</v>
      </c>
      <c r="J71" s="4">
        <v>346.75</v>
      </c>
      <c r="K71" s="5"/>
      <c r="L71" s="5" t="s">
        <v>7</v>
      </c>
      <c r="M71" s="4">
        <v>346.75</v>
      </c>
      <c r="N71" s="4"/>
      <c r="P71" s="9"/>
    </row>
    <row r="72" spans="1:16">
      <c r="A72" s="6">
        <v>112</v>
      </c>
      <c r="B72" s="5" t="s">
        <v>305</v>
      </c>
      <c r="C72" s="5" t="s">
        <v>137</v>
      </c>
      <c r="D72" s="5" t="s">
        <v>136</v>
      </c>
      <c r="G72" s="5" t="s">
        <v>7</v>
      </c>
      <c r="H72" s="4">
        <v>346.75</v>
      </c>
      <c r="I72" s="5" t="s">
        <v>7</v>
      </c>
      <c r="J72" s="4">
        <v>346.75</v>
      </c>
      <c r="K72" s="5"/>
      <c r="L72" s="5" t="s">
        <v>7</v>
      </c>
      <c r="M72" s="4">
        <v>346.75</v>
      </c>
      <c r="N72" s="4"/>
      <c r="P72" s="9"/>
    </row>
    <row r="73" spans="1:16">
      <c r="A73" s="6">
        <v>112</v>
      </c>
      <c r="B73" s="5" t="s">
        <v>305</v>
      </c>
      <c r="C73" s="5" t="s">
        <v>383</v>
      </c>
      <c r="D73" s="5" t="s">
        <v>384</v>
      </c>
      <c r="G73" s="5" t="s">
        <v>7</v>
      </c>
      <c r="H73" s="4">
        <v>6087.15</v>
      </c>
      <c r="I73" s="5" t="s">
        <v>7</v>
      </c>
      <c r="J73" s="4">
        <v>8522.01</v>
      </c>
      <c r="K73" s="5" t="s">
        <v>135</v>
      </c>
      <c r="L73" s="5" t="s">
        <v>7</v>
      </c>
      <c r="M73" s="4">
        <v>10956.87</v>
      </c>
      <c r="N73" s="3">
        <v>-22.222000000000001</v>
      </c>
      <c r="P73" s="9"/>
    </row>
    <row r="74" spans="1:16">
      <c r="A74" s="6">
        <v>112</v>
      </c>
      <c r="B74" s="5" t="s">
        <v>305</v>
      </c>
      <c r="C74" s="5" t="s">
        <v>272</v>
      </c>
      <c r="D74" s="5" t="s">
        <v>273</v>
      </c>
      <c r="G74" s="5" t="s">
        <v>7</v>
      </c>
      <c r="H74" s="4">
        <v>4050</v>
      </c>
      <c r="I74" s="5" t="s">
        <v>7</v>
      </c>
      <c r="J74" s="4">
        <v>4879.96</v>
      </c>
      <c r="K74" s="5" t="s">
        <v>134</v>
      </c>
      <c r="L74" s="5" t="s">
        <v>7</v>
      </c>
      <c r="M74" s="4">
        <v>6539.89</v>
      </c>
      <c r="N74" s="3">
        <v>-25.381</v>
      </c>
      <c r="P74" s="9"/>
    </row>
    <row r="75" spans="1:16">
      <c r="A75" s="6">
        <v>112</v>
      </c>
      <c r="B75" s="5" t="s">
        <v>305</v>
      </c>
      <c r="C75" s="5" t="s">
        <v>133</v>
      </c>
      <c r="D75" s="5" t="s">
        <v>132</v>
      </c>
      <c r="G75" s="5" t="s">
        <v>7</v>
      </c>
      <c r="H75" s="4">
        <v>10137.15</v>
      </c>
      <c r="I75" s="5" t="s">
        <v>7</v>
      </c>
      <c r="J75" s="4">
        <v>13401.97</v>
      </c>
      <c r="K75" s="5" t="s">
        <v>131</v>
      </c>
      <c r="L75" s="5" t="s">
        <v>7</v>
      </c>
      <c r="M75" s="4">
        <v>17496.759999999998</v>
      </c>
      <c r="N75" s="3">
        <v>-23.402999999999999</v>
      </c>
      <c r="P75" s="9"/>
    </row>
    <row r="76" spans="1:16">
      <c r="A76" s="6">
        <v>112</v>
      </c>
      <c r="B76" s="5" t="s">
        <v>305</v>
      </c>
      <c r="C76" s="5" t="s">
        <v>274</v>
      </c>
      <c r="D76" s="5" t="s">
        <v>275</v>
      </c>
      <c r="G76" s="5" t="s">
        <v>7</v>
      </c>
      <c r="H76" s="4">
        <v>5030.3999999999996</v>
      </c>
      <c r="I76" s="5" t="s">
        <v>7</v>
      </c>
      <c r="J76" s="4">
        <v>5030.3999999999996</v>
      </c>
      <c r="K76" s="5"/>
      <c r="L76" s="5" t="s">
        <v>7</v>
      </c>
      <c r="M76" s="4">
        <v>5030.3999999999996</v>
      </c>
      <c r="N76" s="4"/>
      <c r="P76" s="9"/>
    </row>
    <row r="77" spans="1:16">
      <c r="A77" s="6">
        <v>112</v>
      </c>
      <c r="B77" s="5" t="s">
        <v>305</v>
      </c>
      <c r="C77" s="5" t="s">
        <v>276</v>
      </c>
      <c r="D77" s="5" t="s">
        <v>277</v>
      </c>
      <c r="G77" s="5" t="s">
        <v>7</v>
      </c>
      <c r="H77" s="4">
        <v>790</v>
      </c>
      <c r="I77" s="5" t="s">
        <v>7</v>
      </c>
      <c r="J77" s="4">
        <v>790</v>
      </c>
      <c r="K77" s="5"/>
      <c r="L77" s="5" t="s">
        <v>7</v>
      </c>
      <c r="M77" s="4">
        <v>790</v>
      </c>
      <c r="N77" s="4"/>
      <c r="P77" s="9"/>
    </row>
    <row r="78" spans="1:16">
      <c r="A78" s="6">
        <v>112</v>
      </c>
      <c r="B78" s="5" t="s">
        <v>305</v>
      </c>
      <c r="C78" s="5" t="s">
        <v>278</v>
      </c>
      <c r="D78" s="5" t="s">
        <v>275</v>
      </c>
      <c r="G78" s="5" t="s">
        <v>7</v>
      </c>
      <c r="H78" s="4">
        <v>5820.4</v>
      </c>
      <c r="I78" s="5" t="s">
        <v>7</v>
      </c>
      <c r="J78" s="4">
        <v>5820.4</v>
      </c>
      <c r="K78" s="5"/>
      <c r="L78" s="5" t="s">
        <v>7</v>
      </c>
      <c r="M78" s="4">
        <v>5820.4</v>
      </c>
      <c r="N78" s="4"/>
      <c r="P78" s="9"/>
    </row>
    <row r="79" spans="1:16">
      <c r="A79" s="6">
        <v>112</v>
      </c>
      <c r="B79" s="5" t="s">
        <v>305</v>
      </c>
      <c r="C79" s="5" t="s">
        <v>279</v>
      </c>
      <c r="D79" s="5" t="s">
        <v>280</v>
      </c>
      <c r="G79" s="5" t="s">
        <v>7</v>
      </c>
      <c r="H79" s="4">
        <v>39974.589999999997</v>
      </c>
      <c r="I79" s="5" t="s">
        <v>7</v>
      </c>
      <c r="J79" s="4">
        <v>48435.8</v>
      </c>
      <c r="K79" s="5" t="s">
        <v>130</v>
      </c>
      <c r="L79" s="5" t="s">
        <v>7</v>
      </c>
      <c r="M79" s="4">
        <v>77162.11</v>
      </c>
      <c r="N79" s="3">
        <v>-37.228000000000002</v>
      </c>
      <c r="P79" s="9"/>
    </row>
    <row r="80" spans="1:16">
      <c r="A80" s="6">
        <v>112</v>
      </c>
      <c r="B80" s="5" t="s">
        <v>305</v>
      </c>
      <c r="C80" s="5" t="s">
        <v>281</v>
      </c>
      <c r="D80" s="5" t="s">
        <v>282</v>
      </c>
      <c r="G80" s="5" t="s">
        <v>7</v>
      </c>
      <c r="H80" s="4">
        <v>39974.589999999997</v>
      </c>
      <c r="I80" s="5" t="s">
        <v>7</v>
      </c>
      <c r="J80" s="4">
        <v>48435.8</v>
      </c>
      <c r="K80" s="5" t="s">
        <v>130</v>
      </c>
      <c r="L80" s="5" t="s">
        <v>7</v>
      </c>
      <c r="M80" s="4">
        <v>77162.11</v>
      </c>
      <c r="N80" s="3">
        <v>-37.228000000000002</v>
      </c>
      <c r="P80" s="9"/>
    </row>
    <row r="81" spans="1:14">
      <c r="A81" s="6">
        <v>112</v>
      </c>
      <c r="B81" s="5" t="s">
        <v>305</v>
      </c>
      <c r="C81" s="5" t="s">
        <v>129</v>
      </c>
      <c r="D81" s="5" t="s">
        <v>128</v>
      </c>
      <c r="G81" s="5" t="s">
        <v>7</v>
      </c>
      <c r="H81" s="4">
        <v>56278.89</v>
      </c>
      <c r="I81" s="5" t="s">
        <v>7</v>
      </c>
      <c r="J81" s="4">
        <v>68004.92</v>
      </c>
      <c r="K81" s="5" t="s">
        <v>127</v>
      </c>
      <c r="L81" s="5" t="s">
        <v>7</v>
      </c>
      <c r="M81" s="4">
        <v>100826.02</v>
      </c>
      <c r="N81" s="3">
        <v>-32.552</v>
      </c>
    </row>
    <row r="82" spans="1:14">
      <c r="A82" s="6">
        <v>112</v>
      </c>
      <c r="B82" s="5" t="s">
        <v>305</v>
      </c>
      <c r="C82" s="5" t="s">
        <v>320</v>
      </c>
      <c r="D82" s="5" t="s">
        <v>321</v>
      </c>
      <c r="G82" s="5" t="s">
        <v>7</v>
      </c>
      <c r="H82" s="4">
        <v>0</v>
      </c>
      <c r="I82" s="5"/>
      <c r="J82" s="4">
        <v>0</v>
      </c>
      <c r="K82" s="5"/>
      <c r="L82" s="5" t="s">
        <v>7</v>
      </c>
      <c r="M82" s="4">
        <v>3602.11</v>
      </c>
      <c r="N82" s="3">
        <v>-100</v>
      </c>
    </row>
    <row r="83" spans="1:14">
      <c r="A83" s="6">
        <v>112</v>
      </c>
      <c r="B83" s="5" t="s">
        <v>305</v>
      </c>
      <c r="C83" s="5" t="s">
        <v>322</v>
      </c>
      <c r="D83" s="5" t="s">
        <v>323</v>
      </c>
      <c r="G83" s="5" t="s">
        <v>7</v>
      </c>
      <c r="H83" s="4">
        <v>0</v>
      </c>
      <c r="I83" s="5" t="s">
        <v>7</v>
      </c>
      <c r="J83" s="4">
        <v>0</v>
      </c>
      <c r="K83" s="5"/>
      <c r="L83" s="5" t="s">
        <v>7</v>
      </c>
      <c r="M83" s="4">
        <v>3602.11</v>
      </c>
      <c r="N83" s="3">
        <v>-100</v>
      </c>
    </row>
    <row r="84" spans="1:14">
      <c r="A84" s="6">
        <v>112</v>
      </c>
      <c r="B84" s="5" t="s">
        <v>305</v>
      </c>
      <c r="C84" s="5" t="s">
        <v>126</v>
      </c>
      <c r="D84" s="5" t="s">
        <v>125</v>
      </c>
      <c r="G84" s="5" t="s">
        <v>7</v>
      </c>
      <c r="H84" s="4">
        <v>0</v>
      </c>
      <c r="I84" s="5" t="s">
        <v>7</v>
      </c>
      <c r="J84" s="4">
        <v>0</v>
      </c>
      <c r="K84" s="5"/>
      <c r="L84" s="5" t="s">
        <v>7</v>
      </c>
      <c r="M84" s="4">
        <v>3602.11</v>
      </c>
      <c r="N84" s="3">
        <v>-100</v>
      </c>
    </row>
    <row r="85" spans="1:14">
      <c r="A85" s="6">
        <v>112</v>
      </c>
      <c r="B85" s="5" t="s">
        <v>305</v>
      </c>
      <c r="C85" s="5" t="s">
        <v>385</v>
      </c>
      <c r="D85" s="5" t="s">
        <v>386</v>
      </c>
      <c r="G85" s="5" t="s">
        <v>7</v>
      </c>
      <c r="H85" s="4">
        <v>8727.8700000000008</v>
      </c>
      <c r="I85" s="5" t="s">
        <v>7</v>
      </c>
      <c r="J85" s="4">
        <v>10041.030000000001</v>
      </c>
      <c r="K85" s="5" t="s">
        <v>26</v>
      </c>
      <c r="L85" s="5" t="s">
        <v>7</v>
      </c>
      <c r="M85" s="4">
        <v>0</v>
      </c>
      <c r="N85" s="3">
        <v>100</v>
      </c>
    </row>
    <row r="86" spans="1:14">
      <c r="A86" s="6">
        <v>112</v>
      </c>
      <c r="B86" s="5" t="s">
        <v>305</v>
      </c>
      <c r="C86" s="5" t="s">
        <v>124</v>
      </c>
      <c r="D86" s="5" t="s">
        <v>123</v>
      </c>
      <c r="G86" s="5" t="s">
        <v>7</v>
      </c>
      <c r="H86" s="4">
        <v>8727.8700000000008</v>
      </c>
      <c r="I86" s="5" t="s">
        <v>7</v>
      </c>
      <c r="J86" s="4">
        <v>10041.030000000001</v>
      </c>
      <c r="K86" s="5" t="s">
        <v>26</v>
      </c>
      <c r="L86" s="5" t="s">
        <v>7</v>
      </c>
      <c r="M86" s="4">
        <v>0</v>
      </c>
      <c r="N86" s="3">
        <v>100</v>
      </c>
    </row>
    <row r="87" spans="1:14">
      <c r="A87" s="6">
        <v>112</v>
      </c>
      <c r="B87" s="5" t="s">
        <v>305</v>
      </c>
      <c r="C87" s="5" t="s">
        <v>122</v>
      </c>
      <c r="D87" s="5" t="s">
        <v>121</v>
      </c>
      <c r="G87" s="5" t="s">
        <v>7</v>
      </c>
      <c r="H87" s="4">
        <v>8727.8700000000008</v>
      </c>
      <c r="I87" s="5" t="s">
        <v>7</v>
      </c>
      <c r="J87" s="4">
        <v>10041.030000000001</v>
      </c>
      <c r="K87" s="5" t="s">
        <v>26</v>
      </c>
      <c r="L87" s="5" t="s">
        <v>7</v>
      </c>
      <c r="M87" s="4">
        <v>0</v>
      </c>
      <c r="N87" s="3">
        <v>100</v>
      </c>
    </row>
    <row r="88" spans="1:14">
      <c r="A88" s="6">
        <v>112</v>
      </c>
      <c r="B88" s="5" t="s">
        <v>305</v>
      </c>
      <c r="C88" s="5" t="s">
        <v>367</v>
      </c>
      <c r="D88" s="5" t="s">
        <v>368</v>
      </c>
      <c r="G88" s="5" t="s">
        <v>7</v>
      </c>
      <c r="H88" s="4">
        <v>0</v>
      </c>
      <c r="I88" s="5"/>
      <c r="J88" s="4">
        <v>0</v>
      </c>
      <c r="K88" s="5"/>
      <c r="L88" s="5" t="s">
        <v>7</v>
      </c>
      <c r="M88" s="4">
        <v>67759.06</v>
      </c>
      <c r="N88" s="3">
        <v>-100</v>
      </c>
    </row>
    <row r="89" spans="1:14">
      <c r="A89" s="6">
        <v>112</v>
      </c>
      <c r="B89" s="5" t="s">
        <v>305</v>
      </c>
      <c r="C89" s="5" t="s">
        <v>387</v>
      </c>
      <c r="D89" s="5" t="s">
        <v>388</v>
      </c>
      <c r="G89" s="5" t="s">
        <v>7</v>
      </c>
      <c r="H89" s="4">
        <v>124.5</v>
      </c>
      <c r="I89" s="5" t="s">
        <v>7</v>
      </c>
      <c r="J89" s="4">
        <v>124.5</v>
      </c>
      <c r="K89" s="5"/>
      <c r="L89" s="5" t="s">
        <v>7</v>
      </c>
      <c r="M89" s="4">
        <v>124.5</v>
      </c>
      <c r="N89" s="4"/>
    </row>
    <row r="90" spans="1:14">
      <c r="A90" s="6">
        <v>112</v>
      </c>
      <c r="B90" s="5" t="s">
        <v>305</v>
      </c>
      <c r="C90" s="5" t="s">
        <v>369</v>
      </c>
      <c r="D90" s="5" t="s">
        <v>120</v>
      </c>
      <c r="G90" s="5" t="s">
        <v>7</v>
      </c>
      <c r="H90" s="4">
        <v>174.42</v>
      </c>
      <c r="I90" s="5"/>
      <c r="J90" s="4">
        <v>0</v>
      </c>
      <c r="K90" s="5" t="s">
        <v>18</v>
      </c>
      <c r="L90" s="5" t="s">
        <v>7</v>
      </c>
      <c r="M90" s="4">
        <v>0</v>
      </c>
      <c r="N90" s="4"/>
    </row>
    <row r="91" spans="1:14">
      <c r="A91" s="6">
        <v>112</v>
      </c>
      <c r="B91" s="5" t="s">
        <v>305</v>
      </c>
      <c r="C91" s="5" t="s">
        <v>119</v>
      </c>
      <c r="D91" s="5" t="s">
        <v>118</v>
      </c>
      <c r="G91" s="5" t="s">
        <v>7</v>
      </c>
      <c r="H91" s="4">
        <v>298.92</v>
      </c>
      <c r="I91" s="5" t="s">
        <v>7</v>
      </c>
      <c r="J91" s="4">
        <v>124.5</v>
      </c>
      <c r="K91" s="5" t="s">
        <v>115</v>
      </c>
      <c r="L91" s="5" t="s">
        <v>7</v>
      </c>
      <c r="M91" s="4">
        <v>67883.56</v>
      </c>
      <c r="N91" s="3">
        <v>-99.816000000000003</v>
      </c>
    </row>
    <row r="92" spans="1:14">
      <c r="A92" s="6">
        <v>112</v>
      </c>
      <c r="B92" s="5" t="s">
        <v>305</v>
      </c>
      <c r="C92" s="5" t="s">
        <v>389</v>
      </c>
      <c r="D92" s="5" t="s">
        <v>390</v>
      </c>
      <c r="G92" s="5" t="s">
        <v>7</v>
      </c>
      <c r="H92" s="4">
        <v>0</v>
      </c>
      <c r="I92" s="5" t="s">
        <v>7</v>
      </c>
      <c r="J92" s="4">
        <v>0</v>
      </c>
      <c r="K92" s="5"/>
      <c r="L92" s="5" t="s">
        <v>7</v>
      </c>
      <c r="M92" s="4">
        <v>25488.85</v>
      </c>
      <c r="N92" s="3">
        <v>-100</v>
      </c>
    </row>
    <row r="93" spans="1:14">
      <c r="A93" s="6">
        <v>112</v>
      </c>
      <c r="B93" s="5" t="s">
        <v>305</v>
      </c>
      <c r="C93" s="5" t="s">
        <v>391</v>
      </c>
      <c r="D93" s="5" t="s">
        <v>392</v>
      </c>
      <c r="G93" s="5" t="s">
        <v>7</v>
      </c>
      <c r="H93" s="4">
        <v>0</v>
      </c>
      <c r="I93" s="5" t="s">
        <v>7</v>
      </c>
      <c r="J93" s="4">
        <v>0</v>
      </c>
      <c r="K93" s="5"/>
      <c r="L93" s="5" t="s">
        <v>7</v>
      </c>
      <c r="M93" s="4">
        <v>25488.85</v>
      </c>
      <c r="N93" s="3">
        <v>-100</v>
      </c>
    </row>
    <row r="94" spans="1:14">
      <c r="A94" s="6">
        <v>112</v>
      </c>
      <c r="B94" s="5" t="s">
        <v>305</v>
      </c>
      <c r="C94" s="5" t="s">
        <v>117</v>
      </c>
      <c r="D94" s="5" t="s">
        <v>116</v>
      </c>
      <c r="G94" s="5" t="s">
        <v>7</v>
      </c>
      <c r="H94" s="4">
        <v>298.92</v>
      </c>
      <c r="I94" s="5" t="s">
        <v>7</v>
      </c>
      <c r="J94" s="4">
        <v>124.5</v>
      </c>
      <c r="K94" s="5" t="s">
        <v>115</v>
      </c>
      <c r="L94" s="5" t="s">
        <v>7</v>
      </c>
      <c r="M94" s="4">
        <v>93372.41</v>
      </c>
      <c r="N94" s="3">
        <v>-99.866</v>
      </c>
    </row>
    <row r="95" spans="1:14">
      <c r="A95" s="6">
        <v>112</v>
      </c>
      <c r="B95" s="5" t="s">
        <v>305</v>
      </c>
      <c r="C95" s="5" t="s">
        <v>114</v>
      </c>
      <c r="D95" s="5" t="s">
        <v>113</v>
      </c>
      <c r="G95" s="5" t="s">
        <v>7</v>
      </c>
      <c r="H95" s="4">
        <v>20000</v>
      </c>
      <c r="I95" s="5" t="s">
        <v>7</v>
      </c>
      <c r="J95" s="4">
        <v>20000</v>
      </c>
      <c r="K95" s="5"/>
      <c r="L95" s="5" t="s">
        <v>7</v>
      </c>
      <c r="M95" s="4">
        <v>20000</v>
      </c>
      <c r="N95" s="4"/>
    </row>
    <row r="96" spans="1:14">
      <c r="A96" s="6">
        <v>112</v>
      </c>
      <c r="B96" s="5" t="s">
        <v>305</v>
      </c>
      <c r="C96" s="5" t="s">
        <v>112</v>
      </c>
      <c r="D96" s="5" t="s">
        <v>111</v>
      </c>
      <c r="G96" s="5" t="s">
        <v>7</v>
      </c>
      <c r="H96" s="4">
        <v>20000</v>
      </c>
      <c r="I96" s="5" t="s">
        <v>7</v>
      </c>
      <c r="J96" s="4">
        <v>20000</v>
      </c>
      <c r="K96" s="5"/>
      <c r="L96" s="5" t="s">
        <v>7</v>
      </c>
      <c r="M96" s="4">
        <v>20000</v>
      </c>
      <c r="N96" s="4"/>
    </row>
    <row r="97" spans="1:14">
      <c r="A97" s="6">
        <v>112</v>
      </c>
      <c r="B97" s="5" t="s">
        <v>305</v>
      </c>
      <c r="C97" s="5" t="s">
        <v>393</v>
      </c>
      <c r="D97" s="5" t="s">
        <v>394</v>
      </c>
      <c r="G97" s="5" t="s">
        <v>7</v>
      </c>
      <c r="H97" s="4">
        <v>6743.12</v>
      </c>
      <c r="I97" s="5" t="s">
        <v>7</v>
      </c>
      <c r="J97" s="4">
        <v>6743.12</v>
      </c>
      <c r="K97" s="5"/>
      <c r="L97" s="5" t="s">
        <v>7</v>
      </c>
      <c r="M97" s="4">
        <v>6743.12</v>
      </c>
      <c r="N97" s="4"/>
    </row>
    <row r="98" spans="1:14">
      <c r="A98" s="6">
        <v>112</v>
      </c>
      <c r="B98" s="5" t="s">
        <v>305</v>
      </c>
      <c r="C98" s="5" t="s">
        <v>395</v>
      </c>
      <c r="D98" s="5" t="s">
        <v>396</v>
      </c>
      <c r="G98" s="5" t="s">
        <v>7</v>
      </c>
      <c r="H98" s="4">
        <v>6743.12</v>
      </c>
      <c r="I98" s="5" t="s">
        <v>7</v>
      </c>
      <c r="J98" s="4">
        <v>6743.12</v>
      </c>
      <c r="K98" s="5"/>
      <c r="L98" s="5" t="s">
        <v>7</v>
      </c>
      <c r="M98" s="4">
        <v>6743.12</v>
      </c>
      <c r="N98" s="4"/>
    </row>
    <row r="99" spans="1:14">
      <c r="A99" s="6">
        <v>112</v>
      </c>
      <c r="B99" s="5" t="s">
        <v>305</v>
      </c>
      <c r="C99" s="5" t="s">
        <v>397</v>
      </c>
      <c r="D99" s="5" t="s">
        <v>398</v>
      </c>
      <c r="G99" s="5" t="s">
        <v>7</v>
      </c>
      <c r="H99" s="4">
        <v>374064.14</v>
      </c>
      <c r="I99" s="5" t="s">
        <v>7</v>
      </c>
      <c r="J99" s="4">
        <v>517442.77</v>
      </c>
      <c r="K99" s="5" t="s">
        <v>110</v>
      </c>
      <c r="L99" s="5" t="s">
        <v>7</v>
      </c>
      <c r="M99" s="4">
        <v>697723.89</v>
      </c>
      <c r="N99" s="3">
        <v>-25.838000000000001</v>
      </c>
    </row>
    <row r="100" spans="1:14">
      <c r="A100" s="6">
        <v>112</v>
      </c>
      <c r="B100" s="5" t="s">
        <v>305</v>
      </c>
      <c r="C100" s="5" t="s">
        <v>399</v>
      </c>
      <c r="D100" s="5" t="s">
        <v>400</v>
      </c>
      <c r="G100" s="5" t="s">
        <v>7</v>
      </c>
      <c r="H100" s="4">
        <v>374064.14</v>
      </c>
      <c r="I100" s="5" t="s">
        <v>7</v>
      </c>
      <c r="J100" s="4">
        <v>517442.77</v>
      </c>
      <c r="K100" s="5" t="s">
        <v>110</v>
      </c>
      <c r="L100" s="5" t="s">
        <v>7</v>
      </c>
      <c r="M100" s="4">
        <v>697723.89</v>
      </c>
      <c r="N100" s="3">
        <v>-25.838000000000001</v>
      </c>
    </row>
    <row r="101" spans="1:14">
      <c r="A101" s="6">
        <v>112</v>
      </c>
      <c r="B101" s="5" t="s">
        <v>305</v>
      </c>
      <c r="C101" s="5" t="s">
        <v>109</v>
      </c>
      <c r="D101" s="5" t="s">
        <v>108</v>
      </c>
      <c r="G101" s="5" t="s">
        <v>7</v>
      </c>
      <c r="H101" s="4">
        <v>400807.26</v>
      </c>
      <c r="I101" s="5" t="s">
        <v>7</v>
      </c>
      <c r="J101" s="4">
        <v>544185.89</v>
      </c>
      <c r="K101" s="5" t="s">
        <v>107</v>
      </c>
      <c r="L101" s="5" t="s">
        <v>7</v>
      </c>
      <c r="M101" s="4">
        <v>724467.01</v>
      </c>
      <c r="N101" s="3">
        <v>-24.884</v>
      </c>
    </row>
    <row r="102" spans="1:14">
      <c r="A102" s="6">
        <v>112</v>
      </c>
      <c r="B102" s="5" t="s">
        <v>305</v>
      </c>
      <c r="C102" s="5" t="s">
        <v>401</v>
      </c>
      <c r="D102" s="5" t="s">
        <v>402</v>
      </c>
      <c r="G102" s="5" t="s">
        <v>7</v>
      </c>
      <c r="H102" s="4">
        <v>22254.93</v>
      </c>
      <c r="I102" s="5" t="s">
        <v>7</v>
      </c>
      <c r="J102" s="4">
        <v>24716.6</v>
      </c>
      <c r="K102" s="5" t="s">
        <v>106</v>
      </c>
      <c r="L102" s="5" t="s">
        <v>7</v>
      </c>
      <c r="M102" s="4">
        <v>24681.75</v>
      </c>
      <c r="N102" s="3">
        <v>0.14099999999999999</v>
      </c>
    </row>
    <row r="103" spans="1:14">
      <c r="A103" s="6">
        <v>112</v>
      </c>
      <c r="B103" s="5" t="s">
        <v>305</v>
      </c>
      <c r="C103" s="5" t="s">
        <v>403</v>
      </c>
      <c r="D103" s="5" t="s">
        <v>404</v>
      </c>
      <c r="G103" s="5" t="s">
        <v>7</v>
      </c>
      <c r="H103" s="4">
        <v>22254.93</v>
      </c>
      <c r="I103" s="5" t="s">
        <v>7</v>
      </c>
      <c r="J103" s="4">
        <v>24716.6</v>
      </c>
      <c r="K103" s="5" t="s">
        <v>106</v>
      </c>
      <c r="L103" s="5" t="s">
        <v>7</v>
      </c>
      <c r="M103" s="4">
        <v>24681.75</v>
      </c>
      <c r="N103" s="3">
        <v>0.14099999999999999</v>
      </c>
    </row>
    <row r="104" spans="1:14">
      <c r="A104" s="6">
        <v>112</v>
      </c>
      <c r="B104" s="5" t="s">
        <v>305</v>
      </c>
      <c r="C104" s="5" t="s">
        <v>405</v>
      </c>
      <c r="D104" s="5" t="s">
        <v>404</v>
      </c>
      <c r="G104" s="5" t="s">
        <v>7</v>
      </c>
      <c r="H104" s="4">
        <v>22254.93</v>
      </c>
      <c r="I104" s="5" t="s">
        <v>7</v>
      </c>
      <c r="J104" s="4">
        <v>24716.6</v>
      </c>
      <c r="K104" s="5" t="s">
        <v>106</v>
      </c>
      <c r="L104" s="5" t="s">
        <v>7</v>
      </c>
      <c r="M104" s="4">
        <v>24681.75</v>
      </c>
      <c r="N104" s="3">
        <v>0.14099999999999999</v>
      </c>
    </row>
    <row r="105" spans="1:14">
      <c r="A105" s="6">
        <v>112</v>
      </c>
      <c r="B105" s="5" t="s">
        <v>305</v>
      </c>
      <c r="C105" s="5" t="s">
        <v>406</v>
      </c>
      <c r="D105" s="5" t="s">
        <v>407</v>
      </c>
      <c r="G105" s="5" t="s">
        <v>7</v>
      </c>
      <c r="H105" s="4">
        <v>77848.08</v>
      </c>
      <c r="I105" s="5" t="s">
        <v>7</v>
      </c>
      <c r="J105" s="4">
        <v>77848.08</v>
      </c>
      <c r="K105" s="5"/>
      <c r="L105" s="5" t="s">
        <v>7</v>
      </c>
      <c r="M105" s="4">
        <v>40705.410000000003</v>
      </c>
      <c r="N105" s="3">
        <v>91.247</v>
      </c>
    </row>
    <row r="106" spans="1:14">
      <c r="A106" s="6">
        <v>112</v>
      </c>
      <c r="B106" s="5" t="s">
        <v>305</v>
      </c>
      <c r="C106" s="5" t="s">
        <v>408</v>
      </c>
      <c r="D106" s="5" t="s">
        <v>409</v>
      </c>
      <c r="G106" s="5" t="s">
        <v>7</v>
      </c>
      <c r="H106" s="4">
        <v>50203.360000000001</v>
      </c>
      <c r="I106" s="5" t="s">
        <v>7</v>
      </c>
      <c r="J106" s="4">
        <v>0</v>
      </c>
      <c r="K106" s="5" t="s">
        <v>18</v>
      </c>
      <c r="L106" s="5" t="s">
        <v>7</v>
      </c>
      <c r="M106" s="4">
        <v>0</v>
      </c>
      <c r="N106" s="4"/>
    </row>
    <row r="107" spans="1:14">
      <c r="A107" s="6">
        <v>112</v>
      </c>
      <c r="B107" s="5" t="s">
        <v>305</v>
      </c>
      <c r="C107" s="5" t="s">
        <v>410</v>
      </c>
      <c r="D107" s="5" t="s">
        <v>411</v>
      </c>
      <c r="G107" s="5" t="s">
        <v>7</v>
      </c>
      <c r="H107" s="4">
        <v>8472.82</v>
      </c>
      <c r="I107" s="5" t="s">
        <v>7</v>
      </c>
      <c r="J107" s="4">
        <v>8472.82</v>
      </c>
      <c r="K107" s="5"/>
      <c r="L107" s="5" t="s">
        <v>7</v>
      </c>
      <c r="M107" s="4">
        <v>4252.3500000000004</v>
      </c>
      <c r="N107" s="3">
        <v>99.25</v>
      </c>
    </row>
    <row r="108" spans="1:14">
      <c r="A108" s="6">
        <v>112</v>
      </c>
      <c r="B108" s="5" t="s">
        <v>305</v>
      </c>
      <c r="C108" s="5" t="s">
        <v>412</v>
      </c>
      <c r="D108" s="5" t="s">
        <v>413</v>
      </c>
      <c r="G108" s="5" t="s">
        <v>7</v>
      </c>
      <c r="H108" s="4">
        <v>0</v>
      </c>
      <c r="I108" s="5" t="s">
        <v>7</v>
      </c>
      <c r="J108" s="4">
        <v>25092.18</v>
      </c>
      <c r="K108" s="5" t="s">
        <v>19</v>
      </c>
      <c r="L108" s="5" t="s">
        <v>7</v>
      </c>
      <c r="M108" s="4">
        <v>6.49</v>
      </c>
      <c r="N108" s="3" t="s">
        <v>653</v>
      </c>
    </row>
    <row r="109" spans="1:14">
      <c r="A109" s="6">
        <v>112</v>
      </c>
      <c r="B109" s="5" t="s">
        <v>305</v>
      </c>
      <c r="C109" s="5" t="s">
        <v>414</v>
      </c>
      <c r="D109" s="5" t="s">
        <v>415</v>
      </c>
      <c r="G109" s="5" t="s">
        <v>7</v>
      </c>
      <c r="H109" s="4">
        <v>6262.47</v>
      </c>
      <c r="I109" s="5" t="s">
        <v>7</v>
      </c>
      <c r="J109" s="4">
        <v>0</v>
      </c>
      <c r="K109" s="5" t="s">
        <v>18</v>
      </c>
      <c r="L109" s="5" t="s">
        <v>7</v>
      </c>
      <c r="M109" s="4">
        <v>0</v>
      </c>
      <c r="N109" s="4"/>
    </row>
    <row r="110" spans="1:14">
      <c r="A110" s="6">
        <v>112</v>
      </c>
      <c r="B110" s="5" t="s">
        <v>305</v>
      </c>
      <c r="C110" s="5" t="s">
        <v>416</v>
      </c>
      <c r="D110" s="5" t="s">
        <v>417</v>
      </c>
      <c r="G110" s="5" t="s">
        <v>7</v>
      </c>
      <c r="H110" s="4">
        <v>22552.83</v>
      </c>
      <c r="I110" s="5" t="s">
        <v>7</v>
      </c>
      <c r="J110" s="4">
        <v>0</v>
      </c>
      <c r="K110" s="5" t="s">
        <v>18</v>
      </c>
      <c r="L110" s="5" t="s">
        <v>7</v>
      </c>
      <c r="M110" s="4">
        <v>0</v>
      </c>
      <c r="N110" s="4"/>
    </row>
    <row r="111" spans="1:14">
      <c r="A111" s="6">
        <v>112</v>
      </c>
      <c r="B111" s="5" t="s">
        <v>305</v>
      </c>
      <c r="C111" s="5" t="s">
        <v>418</v>
      </c>
      <c r="D111" s="5" t="s">
        <v>419</v>
      </c>
      <c r="G111" s="5" t="s">
        <v>7</v>
      </c>
      <c r="H111" s="4">
        <v>0</v>
      </c>
      <c r="I111" s="5" t="s">
        <v>7</v>
      </c>
      <c r="J111" s="4">
        <v>22889.09</v>
      </c>
      <c r="K111" s="5" t="s">
        <v>19</v>
      </c>
      <c r="L111" s="5" t="s">
        <v>7</v>
      </c>
      <c r="M111" s="4">
        <v>19003.439999999999</v>
      </c>
      <c r="N111" s="3">
        <v>20.446999999999999</v>
      </c>
    </row>
    <row r="112" spans="1:14">
      <c r="A112" s="6">
        <v>112</v>
      </c>
      <c r="B112" s="5" t="s">
        <v>305</v>
      </c>
      <c r="C112" s="5" t="s">
        <v>420</v>
      </c>
      <c r="D112" s="5" t="s">
        <v>421</v>
      </c>
      <c r="G112" s="5" t="s">
        <v>7</v>
      </c>
      <c r="H112" s="4">
        <v>0</v>
      </c>
      <c r="I112" s="5" t="s">
        <v>7</v>
      </c>
      <c r="J112" s="4">
        <v>5565.2</v>
      </c>
      <c r="K112" s="5" t="s">
        <v>19</v>
      </c>
      <c r="L112" s="5" t="s">
        <v>7</v>
      </c>
      <c r="M112" s="4">
        <v>0</v>
      </c>
      <c r="N112" s="3">
        <v>100</v>
      </c>
    </row>
    <row r="113" spans="1:16">
      <c r="A113" s="6">
        <v>112</v>
      </c>
      <c r="B113" s="5" t="s">
        <v>305</v>
      </c>
      <c r="C113" s="5" t="s">
        <v>422</v>
      </c>
      <c r="D113" s="5" t="s">
        <v>423</v>
      </c>
      <c r="G113" s="5" t="s">
        <v>7</v>
      </c>
      <c r="H113" s="4">
        <v>0</v>
      </c>
      <c r="I113" s="5" t="s">
        <v>7</v>
      </c>
      <c r="J113" s="4">
        <v>0</v>
      </c>
      <c r="K113" s="5"/>
      <c r="L113" s="5" t="s">
        <v>7</v>
      </c>
      <c r="M113" s="4">
        <v>35000</v>
      </c>
      <c r="N113" s="3">
        <v>-100</v>
      </c>
    </row>
    <row r="114" spans="1:16">
      <c r="A114" s="6">
        <v>112</v>
      </c>
      <c r="B114" s="5" t="s">
        <v>305</v>
      </c>
      <c r="C114" s="5" t="s">
        <v>424</v>
      </c>
      <c r="D114" s="5" t="s">
        <v>425</v>
      </c>
      <c r="G114" s="5" t="s">
        <v>7</v>
      </c>
      <c r="H114" s="4">
        <v>165339.56</v>
      </c>
      <c r="I114" s="5" t="s">
        <v>7</v>
      </c>
      <c r="J114" s="4">
        <v>139867.37</v>
      </c>
      <c r="K114" s="5" t="s">
        <v>105</v>
      </c>
      <c r="L114" s="5" t="s">
        <v>7</v>
      </c>
      <c r="M114" s="4">
        <v>98967.69</v>
      </c>
      <c r="N114" s="3">
        <v>41.326000000000001</v>
      </c>
    </row>
    <row r="115" spans="1:16">
      <c r="A115" s="6">
        <v>112</v>
      </c>
      <c r="B115" s="5" t="s">
        <v>305</v>
      </c>
      <c r="C115" s="5" t="s">
        <v>426</v>
      </c>
      <c r="D115" s="5" t="s">
        <v>425</v>
      </c>
      <c r="G115" s="5" t="s">
        <v>7</v>
      </c>
      <c r="H115" s="4">
        <v>165339.56</v>
      </c>
      <c r="I115" s="5" t="s">
        <v>7</v>
      </c>
      <c r="J115" s="4">
        <v>139867.37</v>
      </c>
      <c r="K115" s="5" t="s">
        <v>105</v>
      </c>
      <c r="L115" s="5" t="s">
        <v>7</v>
      </c>
      <c r="M115" s="4">
        <v>98967.69</v>
      </c>
      <c r="N115" s="3">
        <v>41.326000000000001</v>
      </c>
    </row>
    <row r="116" spans="1:16">
      <c r="A116" s="6">
        <v>112</v>
      </c>
      <c r="B116" s="5" t="s">
        <v>305</v>
      </c>
      <c r="C116" s="5" t="s">
        <v>104</v>
      </c>
      <c r="D116" s="5" t="s">
        <v>427</v>
      </c>
      <c r="G116" s="5" t="s">
        <v>7</v>
      </c>
      <c r="H116" s="4">
        <v>2762.32</v>
      </c>
      <c r="I116" s="5" t="s">
        <v>7</v>
      </c>
      <c r="J116" s="4">
        <v>4495.97</v>
      </c>
      <c r="K116" s="5" t="s">
        <v>100</v>
      </c>
      <c r="L116" s="5" t="s">
        <v>7</v>
      </c>
      <c r="M116" s="4">
        <v>4495.97</v>
      </c>
      <c r="N116" s="4"/>
    </row>
    <row r="117" spans="1:16">
      <c r="A117" s="6">
        <v>112</v>
      </c>
      <c r="B117" s="5" t="s">
        <v>305</v>
      </c>
      <c r="C117" s="5" t="s">
        <v>103</v>
      </c>
      <c r="D117" s="5" t="s">
        <v>101</v>
      </c>
      <c r="G117" s="5" t="s">
        <v>7</v>
      </c>
      <c r="H117" s="4">
        <v>2762.32</v>
      </c>
      <c r="I117" s="5" t="s">
        <v>7</v>
      </c>
      <c r="J117" s="4">
        <v>4495.97</v>
      </c>
      <c r="K117" s="5" t="s">
        <v>100</v>
      </c>
      <c r="L117" s="5" t="s">
        <v>7</v>
      </c>
      <c r="M117" s="4">
        <v>4495.97</v>
      </c>
      <c r="N117" s="4"/>
    </row>
    <row r="118" spans="1:16">
      <c r="A118" s="6">
        <v>112</v>
      </c>
      <c r="B118" s="5" t="s">
        <v>305</v>
      </c>
      <c r="C118" s="5" t="s">
        <v>102</v>
      </c>
      <c r="D118" s="5" t="s">
        <v>101</v>
      </c>
      <c r="G118" s="5" t="s">
        <v>7</v>
      </c>
      <c r="H118" s="4">
        <v>2762.32</v>
      </c>
      <c r="I118" s="5" t="s">
        <v>7</v>
      </c>
      <c r="J118" s="4">
        <v>4495.97</v>
      </c>
      <c r="K118" s="5" t="s">
        <v>100</v>
      </c>
      <c r="L118" s="5" t="s">
        <v>7</v>
      </c>
      <c r="M118" s="4">
        <v>4495.97</v>
      </c>
      <c r="N118" s="4"/>
    </row>
    <row r="119" spans="1:16">
      <c r="A119" s="6">
        <v>112</v>
      </c>
      <c r="B119" s="5" t="s">
        <v>305</v>
      </c>
      <c r="C119" s="5" t="s">
        <v>428</v>
      </c>
      <c r="D119" s="5" t="s">
        <v>429</v>
      </c>
      <c r="G119" s="5" t="s">
        <v>7</v>
      </c>
      <c r="H119" s="4">
        <v>75000</v>
      </c>
      <c r="I119" s="5" t="s">
        <v>7</v>
      </c>
      <c r="J119" s="4">
        <v>70500</v>
      </c>
      <c r="K119" s="5" t="s">
        <v>99</v>
      </c>
      <c r="L119" s="5" t="s">
        <v>7</v>
      </c>
      <c r="M119" s="4">
        <v>25450</v>
      </c>
      <c r="N119" s="3">
        <v>177.01300000000001</v>
      </c>
    </row>
    <row r="120" spans="1:16">
      <c r="A120" s="6">
        <v>112</v>
      </c>
      <c r="B120" s="5" t="s">
        <v>305</v>
      </c>
      <c r="C120" s="5" t="s">
        <v>430</v>
      </c>
      <c r="D120" s="5" t="s">
        <v>431</v>
      </c>
      <c r="G120" s="5" t="s">
        <v>7</v>
      </c>
      <c r="H120" s="4">
        <v>40000</v>
      </c>
      <c r="I120" s="5" t="s">
        <v>7</v>
      </c>
      <c r="J120" s="4">
        <v>0</v>
      </c>
      <c r="K120" s="5" t="s">
        <v>18</v>
      </c>
      <c r="L120" s="5" t="s">
        <v>7</v>
      </c>
      <c r="M120" s="4">
        <v>0</v>
      </c>
      <c r="N120" s="4"/>
    </row>
    <row r="121" spans="1:16">
      <c r="A121" s="6">
        <v>112</v>
      </c>
      <c r="B121" s="5" t="s">
        <v>305</v>
      </c>
      <c r="C121" s="5" t="s">
        <v>432</v>
      </c>
      <c r="D121" s="5" t="s">
        <v>433</v>
      </c>
      <c r="G121" s="5" t="s">
        <v>7</v>
      </c>
      <c r="H121" s="4">
        <v>115000</v>
      </c>
      <c r="I121" s="5" t="s">
        <v>7</v>
      </c>
      <c r="J121" s="4">
        <v>70500</v>
      </c>
      <c r="K121" s="5" t="s">
        <v>98</v>
      </c>
      <c r="L121" s="5" t="s">
        <v>7</v>
      </c>
      <c r="M121" s="4">
        <v>25450</v>
      </c>
      <c r="N121" s="3">
        <v>177.01300000000001</v>
      </c>
    </row>
    <row r="122" spans="1:16">
      <c r="A122" s="6">
        <v>112</v>
      </c>
      <c r="B122" s="5" t="s">
        <v>305</v>
      </c>
      <c r="C122" s="5" t="s">
        <v>434</v>
      </c>
      <c r="D122" s="5" t="s">
        <v>433</v>
      </c>
      <c r="G122" s="5" t="s">
        <v>7</v>
      </c>
      <c r="H122" s="4">
        <v>115000</v>
      </c>
      <c r="I122" s="5" t="s">
        <v>7</v>
      </c>
      <c r="J122" s="4">
        <v>70500</v>
      </c>
      <c r="K122" s="5" t="s">
        <v>98</v>
      </c>
      <c r="L122" s="5" t="s">
        <v>7</v>
      </c>
      <c r="M122" s="4">
        <v>25450</v>
      </c>
      <c r="N122" s="3">
        <v>177.01300000000001</v>
      </c>
    </row>
    <row r="123" spans="1:16">
      <c r="A123" s="6">
        <v>112</v>
      </c>
      <c r="B123" s="5" t="s">
        <v>305</v>
      </c>
      <c r="C123" s="5" t="s">
        <v>97</v>
      </c>
      <c r="D123" s="5" t="s">
        <v>96</v>
      </c>
      <c r="G123" s="5" t="s">
        <v>7</v>
      </c>
      <c r="H123" s="4">
        <v>120392.23</v>
      </c>
      <c r="I123" s="5" t="s">
        <v>7</v>
      </c>
      <c r="J123" s="4">
        <v>52662.400000000001</v>
      </c>
      <c r="K123" s="5" t="s">
        <v>95</v>
      </c>
      <c r="L123" s="5" t="s">
        <v>7</v>
      </c>
      <c r="M123" s="4">
        <v>169220.27</v>
      </c>
      <c r="N123" s="3">
        <v>-68.879000000000005</v>
      </c>
    </row>
    <row r="124" spans="1:16">
      <c r="A124" s="6">
        <v>112</v>
      </c>
      <c r="B124" s="5" t="s">
        <v>305</v>
      </c>
      <c r="C124" s="5" t="s">
        <v>435</v>
      </c>
      <c r="D124" s="5" t="s">
        <v>436</v>
      </c>
      <c r="G124" s="5" t="s">
        <v>7</v>
      </c>
      <c r="H124" s="4">
        <v>9251.4500000000007</v>
      </c>
      <c r="I124" s="5" t="s">
        <v>7</v>
      </c>
      <c r="J124" s="4">
        <v>1967.14</v>
      </c>
      <c r="K124" s="5" t="s">
        <v>94</v>
      </c>
      <c r="L124" s="5" t="s">
        <v>7</v>
      </c>
      <c r="M124" s="4">
        <v>582.47</v>
      </c>
      <c r="N124" s="3">
        <v>237.72300000000001</v>
      </c>
      <c r="P124" s="9"/>
    </row>
    <row r="125" spans="1:16">
      <c r="A125" s="6">
        <v>112</v>
      </c>
      <c r="B125" s="5" t="s">
        <v>305</v>
      </c>
      <c r="C125" s="5" t="s">
        <v>437</v>
      </c>
      <c r="D125" s="5" t="s">
        <v>438</v>
      </c>
      <c r="G125" s="5" t="s">
        <v>7</v>
      </c>
      <c r="H125" s="4">
        <v>179800</v>
      </c>
      <c r="I125" s="5" t="s">
        <v>7</v>
      </c>
      <c r="J125" s="4">
        <v>197200</v>
      </c>
      <c r="K125" s="5" t="s">
        <v>93</v>
      </c>
      <c r="L125" s="5" t="s">
        <v>7</v>
      </c>
      <c r="M125" s="4">
        <v>153700</v>
      </c>
      <c r="N125" s="3">
        <v>28.300999999999998</v>
      </c>
      <c r="P125" s="9"/>
    </row>
    <row r="126" spans="1:16">
      <c r="A126" s="6">
        <v>112</v>
      </c>
      <c r="B126" s="5" t="s">
        <v>305</v>
      </c>
      <c r="C126" s="5" t="s">
        <v>92</v>
      </c>
      <c r="D126" s="5" t="s">
        <v>90</v>
      </c>
      <c r="G126" s="5" t="s">
        <v>7</v>
      </c>
      <c r="H126" s="4">
        <v>189051.45</v>
      </c>
      <c r="I126" s="5" t="s">
        <v>7</v>
      </c>
      <c r="J126" s="4">
        <v>199167.14</v>
      </c>
      <c r="K126" s="5" t="s">
        <v>89</v>
      </c>
      <c r="L126" s="5" t="s">
        <v>7</v>
      </c>
      <c r="M126" s="4">
        <v>154282.47</v>
      </c>
      <c r="N126" s="3">
        <v>29.091999999999999</v>
      </c>
      <c r="P126" s="9"/>
    </row>
    <row r="127" spans="1:16">
      <c r="A127" s="6">
        <v>112</v>
      </c>
      <c r="B127" s="5" t="s">
        <v>305</v>
      </c>
      <c r="C127" s="5" t="s">
        <v>91</v>
      </c>
      <c r="D127" s="5" t="s">
        <v>90</v>
      </c>
      <c r="G127" s="5" t="s">
        <v>7</v>
      </c>
      <c r="H127" s="4">
        <v>189051.45</v>
      </c>
      <c r="I127" s="5" t="s">
        <v>7</v>
      </c>
      <c r="J127" s="4">
        <v>199167.14</v>
      </c>
      <c r="K127" s="5" t="s">
        <v>89</v>
      </c>
      <c r="L127" s="5" t="s">
        <v>7</v>
      </c>
      <c r="M127" s="4">
        <v>154282.47</v>
      </c>
      <c r="N127" s="3">
        <v>29.091999999999999</v>
      </c>
      <c r="P127" s="9"/>
    </row>
    <row r="128" spans="1:16">
      <c r="A128" s="6">
        <v>112</v>
      </c>
      <c r="B128" s="5" t="s">
        <v>305</v>
      </c>
      <c r="C128" s="5" t="s">
        <v>375</v>
      </c>
      <c r="D128" s="5" t="s">
        <v>376</v>
      </c>
      <c r="G128" s="5" t="s">
        <v>7</v>
      </c>
      <c r="H128" s="4">
        <v>0</v>
      </c>
      <c r="I128" s="5" t="s">
        <v>7</v>
      </c>
      <c r="J128" s="4">
        <v>21.57</v>
      </c>
      <c r="K128" s="5" t="s">
        <v>19</v>
      </c>
      <c r="L128" s="5" t="s">
        <v>7</v>
      </c>
      <c r="M128" s="4">
        <v>87.46</v>
      </c>
      <c r="N128" s="3">
        <v>-75.337000000000003</v>
      </c>
    </row>
    <row r="129" spans="1:21">
      <c r="A129" s="6">
        <v>112</v>
      </c>
      <c r="B129" s="5" t="s">
        <v>305</v>
      </c>
      <c r="C129" s="5" t="s">
        <v>439</v>
      </c>
      <c r="D129" s="5" t="s">
        <v>440</v>
      </c>
      <c r="G129" s="5" t="s">
        <v>7</v>
      </c>
      <c r="H129" s="4">
        <v>741.65</v>
      </c>
      <c r="I129" s="5" t="s">
        <v>7</v>
      </c>
      <c r="J129" s="4">
        <v>672.46</v>
      </c>
      <c r="K129" s="5" t="s">
        <v>88</v>
      </c>
      <c r="L129" s="5" t="s">
        <v>7</v>
      </c>
      <c r="M129" s="4">
        <v>569.41</v>
      </c>
      <c r="N129" s="3">
        <v>18.097000000000001</v>
      </c>
      <c r="P129" s="9"/>
      <c r="T129" t="s">
        <v>246</v>
      </c>
      <c r="U129" t="s">
        <v>230</v>
      </c>
    </row>
    <row r="130" spans="1:21">
      <c r="A130" s="6">
        <v>112</v>
      </c>
      <c r="B130" s="5" t="s">
        <v>305</v>
      </c>
      <c r="C130" s="5" t="s">
        <v>441</v>
      </c>
      <c r="D130" s="5" t="s">
        <v>442</v>
      </c>
      <c r="G130" s="5" t="s">
        <v>7</v>
      </c>
      <c r="H130" s="4">
        <v>0</v>
      </c>
      <c r="I130" s="5" t="s">
        <v>7</v>
      </c>
      <c r="J130" s="4">
        <v>0</v>
      </c>
      <c r="K130" s="5"/>
      <c r="L130" s="5" t="s">
        <v>7</v>
      </c>
      <c r="M130" s="4">
        <v>65.53</v>
      </c>
      <c r="N130" s="3">
        <v>-100</v>
      </c>
      <c r="P130" s="9"/>
    </row>
    <row r="131" spans="1:21">
      <c r="A131" s="6">
        <v>112</v>
      </c>
      <c r="B131" s="5" t="s">
        <v>305</v>
      </c>
      <c r="C131" s="5" t="s">
        <v>443</v>
      </c>
      <c r="D131" s="5" t="s">
        <v>444</v>
      </c>
      <c r="G131" s="5" t="s">
        <v>7</v>
      </c>
      <c r="H131" s="4">
        <v>0</v>
      </c>
      <c r="I131" s="5" t="s">
        <v>7</v>
      </c>
      <c r="J131" s="4">
        <v>0</v>
      </c>
      <c r="K131" s="5"/>
      <c r="L131" s="5" t="s">
        <v>7</v>
      </c>
      <c r="M131" s="4">
        <v>8.08</v>
      </c>
      <c r="N131" s="3">
        <v>-100</v>
      </c>
      <c r="P131" s="9"/>
    </row>
    <row r="132" spans="1:21">
      <c r="A132" s="6">
        <v>112</v>
      </c>
      <c r="B132" s="5" t="s">
        <v>305</v>
      </c>
      <c r="C132" s="5" t="s">
        <v>87</v>
      </c>
      <c r="D132" s="5" t="s">
        <v>85</v>
      </c>
      <c r="G132" s="5" t="s">
        <v>7</v>
      </c>
      <c r="H132" s="4">
        <v>741.65</v>
      </c>
      <c r="I132" s="5" t="s">
        <v>7</v>
      </c>
      <c r="J132" s="4">
        <v>694.03</v>
      </c>
      <c r="K132" s="5" t="s">
        <v>84</v>
      </c>
      <c r="L132" s="5" t="s">
        <v>7</v>
      </c>
      <c r="M132" s="4">
        <v>730.48</v>
      </c>
      <c r="N132" s="3">
        <v>-4.9889999999999999</v>
      </c>
      <c r="P132" s="9"/>
    </row>
    <row r="133" spans="1:21">
      <c r="A133" s="6">
        <v>112</v>
      </c>
      <c r="B133" s="5" t="s">
        <v>305</v>
      </c>
      <c r="C133" s="5" t="s">
        <v>86</v>
      </c>
      <c r="D133" s="5" t="s">
        <v>85</v>
      </c>
      <c r="G133" s="5" t="s">
        <v>7</v>
      </c>
      <c r="H133" s="4">
        <v>741.65</v>
      </c>
      <c r="I133" s="5" t="s">
        <v>7</v>
      </c>
      <c r="J133" s="4">
        <v>694.03</v>
      </c>
      <c r="K133" s="5" t="s">
        <v>84</v>
      </c>
      <c r="L133" s="5" t="s">
        <v>7</v>
      </c>
      <c r="M133" s="4">
        <v>730.48</v>
      </c>
      <c r="N133" s="3">
        <v>-4.9889999999999999</v>
      </c>
      <c r="P133" s="9"/>
    </row>
    <row r="134" spans="1:21">
      <c r="A134" s="6">
        <v>112</v>
      </c>
      <c r="B134" s="5" t="s">
        <v>305</v>
      </c>
      <c r="C134" s="5" t="s">
        <v>445</v>
      </c>
      <c r="D134" s="5" t="s">
        <v>446</v>
      </c>
      <c r="G134" s="5" t="s">
        <v>7</v>
      </c>
      <c r="H134" s="4">
        <v>841</v>
      </c>
      <c r="I134" s="5" t="s">
        <v>7</v>
      </c>
      <c r="J134" s="4">
        <v>814</v>
      </c>
      <c r="K134" s="5" t="s">
        <v>83</v>
      </c>
      <c r="L134" s="5" t="s">
        <v>7</v>
      </c>
      <c r="M134" s="4">
        <v>123.14</v>
      </c>
      <c r="N134" s="3">
        <v>561.03599999999994</v>
      </c>
      <c r="P134" s="9"/>
    </row>
    <row r="135" spans="1:21">
      <c r="A135" s="6">
        <v>112</v>
      </c>
      <c r="B135" s="5" t="s">
        <v>305</v>
      </c>
      <c r="C135" s="5" t="s">
        <v>447</v>
      </c>
      <c r="D135" s="5" t="s">
        <v>448</v>
      </c>
      <c r="G135" s="5" t="s">
        <v>7</v>
      </c>
      <c r="H135" s="4">
        <v>0</v>
      </c>
      <c r="I135" s="5" t="s">
        <v>7</v>
      </c>
      <c r="J135" s="4">
        <v>94.49</v>
      </c>
      <c r="K135" s="5" t="s">
        <v>19</v>
      </c>
      <c r="L135" s="5" t="s">
        <v>7</v>
      </c>
      <c r="M135" s="4">
        <v>0</v>
      </c>
      <c r="N135" s="3">
        <v>100</v>
      </c>
      <c r="P135" s="9"/>
    </row>
    <row r="136" spans="1:21">
      <c r="A136" s="6">
        <v>112</v>
      </c>
      <c r="B136" s="5" t="s">
        <v>305</v>
      </c>
      <c r="C136" s="5" t="s">
        <v>449</v>
      </c>
      <c r="D136" s="5" t="s">
        <v>450</v>
      </c>
      <c r="G136" s="5" t="s">
        <v>7</v>
      </c>
      <c r="H136" s="4">
        <v>680.19</v>
      </c>
      <c r="I136" s="5" t="s">
        <v>7</v>
      </c>
      <c r="J136" s="4">
        <v>488.46</v>
      </c>
      <c r="K136" s="5" t="s">
        <v>82</v>
      </c>
      <c r="L136" s="5" t="s">
        <v>7</v>
      </c>
      <c r="M136" s="4">
        <v>1346.58</v>
      </c>
      <c r="N136" s="3">
        <v>-63.725000000000001</v>
      </c>
      <c r="P136" s="9"/>
    </row>
    <row r="137" spans="1:21">
      <c r="A137" s="6">
        <v>112</v>
      </c>
      <c r="B137" s="5" t="s">
        <v>305</v>
      </c>
      <c r="C137" s="5" t="s">
        <v>451</v>
      </c>
      <c r="D137" s="5" t="s">
        <v>452</v>
      </c>
      <c r="G137" s="5" t="s">
        <v>7</v>
      </c>
      <c r="H137" s="4">
        <v>1521.19</v>
      </c>
      <c r="I137" s="5" t="s">
        <v>7</v>
      </c>
      <c r="J137" s="4">
        <v>1396.95</v>
      </c>
      <c r="K137" s="5" t="s">
        <v>81</v>
      </c>
      <c r="L137" s="5" t="s">
        <v>7</v>
      </c>
      <c r="M137" s="4">
        <v>1469.72</v>
      </c>
      <c r="N137" s="3">
        <v>-4.9509999999999996</v>
      </c>
      <c r="P137" s="9"/>
    </row>
    <row r="138" spans="1:21">
      <c r="A138" s="6">
        <v>112</v>
      </c>
      <c r="B138" s="5" t="s">
        <v>305</v>
      </c>
      <c r="C138" s="5" t="s">
        <v>453</v>
      </c>
      <c r="D138" s="5" t="s">
        <v>452</v>
      </c>
      <c r="G138" s="5" t="s">
        <v>7</v>
      </c>
      <c r="H138" s="4">
        <v>1521.19</v>
      </c>
      <c r="I138" s="5" t="s">
        <v>7</v>
      </c>
      <c r="J138" s="4">
        <v>1396.95</v>
      </c>
      <c r="K138" s="5" t="s">
        <v>81</v>
      </c>
      <c r="L138" s="5" t="s">
        <v>7</v>
      </c>
      <c r="M138" s="4">
        <v>1469.72</v>
      </c>
      <c r="N138" s="3">
        <v>-4.9509999999999996</v>
      </c>
      <c r="P138" s="9"/>
    </row>
    <row r="139" spans="1:21">
      <c r="A139" s="6">
        <v>112</v>
      </c>
      <c r="B139" s="5" t="s">
        <v>305</v>
      </c>
      <c r="C139" s="5" t="s">
        <v>454</v>
      </c>
      <c r="D139" s="5" t="s">
        <v>455</v>
      </c>
      <c r="G139" s="5" t="s">
        <v>7</v>
      </c>
      <c r="H139" s="4">
        <v>1784</v>
      </c>
      <c r="I139" s="5" t="s">
        <v>7</v>
      </c>
      <c r="J139" s="4">
        <v>1944</v>
      </c>
      <c r="K139" s="5" t="s">
        <v>77</v>
      </c>
      <c r="L139" s="5" t="s">
        <v>7</v>
      </c>
      <c r="M139" s="4">
        <v>602.87</v>
      </c>
      <c r="N139" s="3">
        <v>222.45699999999999</v>
      </c>
      <c r="P139" s="9"/>
    </row>
    <row r="140" spans="1:21">
      <c r="A140" s="6">
        <v>112</v>
      </c>
      <c r="B140" s="5" t="s">
        <v>305</v>
      </c>
      <c r="C140" s="5" t="s">
        <v>80</v>
      </c>
      <c r="D140" s="5" t="s">
        <v>78</v>
      </c>
      <c r="G140" s="5" t="s">
        <v>7</v>
      </c>
      <c r="H140" s="4">
        <v>1784</v>
      </c>
      <c r="I140" s="5" t="s">
        <v>7</v>
      </c>
      <c r="J140" s="4">
        <v>1944</v>
      </c>
      <c r="K140" s="5" t="s">
        <v>77</v>
      </c>
      <c r="L140" s="5" t="s">
        <v>7</v>
      </c>
      <c r="M140" s="4">
        <v>602.87</v>
      </c>
      <c r="N140" s="3">
        <v>222.45699999999999</v>
      </c>
      <c r="P140" s="9"/>
    </row>
    <row r="141" spans="1:21">
      <c r="A141" s="6">
        <v>112</v>
      </c>
      <c r="B141" s="5" t="s">
        <v>305</v>
      </c>
      <c r="C141" s="5" t="s">
        <v>79</v>
      </c>
      <c r="D141" s="5" t="s">
        <v>78</v>
      </c>
      <c r="G141" s="5" t="s">
        <v>7</v>
      </c>
      <c r="H141" s="4">
        <v>1784</v>
      </c>
      <c r="I141" s="5" t="s">
        <v>7</v>
      </c>
      <c r="J141" s="4">
        <v>1944</v>
      </c>
      <c r="K141" s="5" t="s">
        <v>77</v>
      </c>
      <c r="L141" s="5" t="s">
        <v>7</v>
      </c>
      <c r="M141" s="4">
        <v>602.87</v>
      </c>
      <c r="N141" s="3">
        <v>222.45699999999999</v>
      </c>
      <c r="P141" s="9"/>
    </row>
    <row r="142" spans="1:21">
      <c r="A142" s="6">
        <v>112</v>
      </c>
      <c r="B142" s="5" t="s">
        <v>305</v>
      </c>
      <c r="C142" s="5" t="s">
        <v>456</v>
      </c>
      <c r="D142" s="5" t="s">
        <v>457</v>
      </c>
      <c r="G142" s="5" t="s">
        <v>7</v>
      </c>
      <c r="H142" s="4">
        <v>271.73</v>
      </c>
      <c r="I142" s="5" t="s">
        <v>7</v>
      </c>
      <c r="J142" s="4">
        <v>139.62</v>
      </c>
      <c r="K142" s="5" t="s">
        <v>76</v>
      </c>
      <c r="L142" s="5" t="s">
        <v>7</v>
      </c>
      <c r="M142" s="4">
        <v>80.8</v>
      </c>
      <c r="N142" s="3">
        <v>72.796999999999997</v>
      </c>
    </row>
    <row r="143" spans="1:21">
      <c r="A143" s="6">
        <v>112</v>
      </c>
      <c r="B143" s="5" t="s">
        <v>305</v>
      </c>
      <c r="C143" s="5" t="s">
        <v>458</v>
      </c>
      <c r="D143" s="5" t="s">
        <v>457</v>
      </c>
      <c r="G143" s="5" t="s">
        <v>7</v>
      </c>
      <c r="H143" s="4">
        <v>271.73</v>
      </c>
      <c r="I143" s="5" t="s">
        <v>7</v>
      </c>
      <c r="J143" s="4">
        <v>139.62</v>
      </c>
      <c r="K143" s="5" t="s">
        <v>76</v>
      </c>
      <c r="L143" s="5" t="s">
        <v>7</v>
      </c>
      <c r="M143" s="4">
        <v>80.8</v>
      </c>
      <c r="N143" s="3">
        <v>72.796999999999997</v>
      </c>
    </row>
    <row r="144" spans="1:21">
      <c r="A144" s="6">
        <v>112</v>
      </c>
      <c r="B144" s="5" t="s">
        <v>305</v>
      </c>
      <c r="C144" s="5" t="s">
        <v>459</v>
      </c>
      <c r="D144" s="5" t="s">
        <v>460</v>
      </c>
      <c r="G144" s="5" t="s">
        <v>7</v>
      </c>
      <c r="H144" s="4">
        <v>43674.53</v>
      </c>
      <c r="I144" s="5" t="s">
        <v>7</v>
      </c>
      <c r="J144" s="4">
        <v>33951.050000000003</v>
      </c>
      <c r="K144" s="5" t="s">
        <v>654</v>
      </c>
      <c r="L144" s="5" t="s">
        <v>7</v>
      </c>
      <c r="M144" s="4">
        <v>0</v>
      </c>
      <c r="N144" s="3">
        <v>100</v>
      </c>
    </row>
    <row r="145" spans="1:21">
      <c r="A145" s="145">
        <v>112</v>
      </c>
      <c r="B145" s="142" t="s">
        <v>305</v>
      </c>
      <c r="C145" s="142" t="s">
        <v>461</v>
      </c>
      <c r="D145" s="142" t="s">
        <v>460</v>
      </c>
      <c r="G145" s="142" t="s">
        <v>7</v>
      </c>
      <c r="H145" s="143">
        <v>43674.53</v>
      </c>
      <c r="I145" s="142" t="s">
        <v>7</v>
      </c>
      <c r="J145" s="143">
        <v>33951.050000000003</v>
      </c>
      <c r="K145" s="142" t="s">
        <v>654</v>
      </c>
      <c r="L145" s="142" t="s">
        <v>7</v>
      </c>
      <c r="M145" s="143">
        <v>0</v>
      </c>
      <c r="N145" s="146">
        <v>100</v>
      </c>
    </row>
    <row r="146" spans="1:21">
      <c r="A146" s="116">
        <v>112</v>
      </c>
      <c r="B146" s="117" t="s">
        <v>305</v>
      </c>
      <c r="C146" s="117" t="s">
        <v>462</v>
      </c>
      <c r="D146" s="117" t="s">
        <v>463</v>
      </c>
      <c r="G146" s="117" t="s">
        <v>7</v>
      </c>
      <c r="H146" s="118">
        <v>43946.26</v>
      </c>
      <c r="I146" s="117" t="s">
        <v>7</v>
      </c>
      <c r="J146" s="118">
        <v>34090.67</v>
      </c>
      <c r="K146" s="117" t="s">
        <v>655</v>
      </c>
      <c r="L146" s="117" t="s">
        <v>7</v>
      </c>
      <c r="M146" s="118">
        <v>80.8</v>
      </c>
      <c r="N146" s="147" t="s">
        <v>653</v>
      </c>
    </row>
    <row r="147" spans="1:21">
      <c r="A147" s="6">
        <v>112</v>
      </c>
      <c r="B147" s="5" t="s">
        <v>305</v>
      </c>
      <c r="C147" s="10" t="s">
        <v>464</v>
      </c>
      <c r="D147" s="5" t="s">
        <v>465</v>
      </c>
      <c r="E147" s="9" t="s">
        <v>222</v>
      </c>
      <c r="F147" s="9" t="s">
        <v>231</v>
      </c>
      <c r="G147" s="5" t="s">
        <v>27</v>
      </c>
      <c r="H147" s="4">
        <v>21612.28</v>
      </c>
      <c r="I147" s="5" t="s">
        <v>27</v>
      </c>
      <c r="J147" s="4">
        <v>116575</v>
      </c>
      <c r="K147" s="5" t="s">
        <v>656</v>
      </c>
      <c r="L147" s="5" t="s">
        <v>27</v>
      </c>
      <c r="M147" s="4">
        <v>11275</v>
      </c>
      <c r="N147" s="3">
        <v>933.92399999999998</v>
      </c>
    </row>
    <row r="148" spans="1:21">
      <c r="A148" s="6">
        <v>112</v>
      </c>
      <c r="B148" s="5" t="s">
        <v>305</v>
      </c>
      <c r="C148" s="5" t="s">
        <v>466</v>
      </c>
      <c r="D148" s="5" t="s">
        <v>467</v>
      </c>
      <c r="G148" s="5" t="s">
        <v>27</v>
      </c>
      <c r="H148" s="4">
        <v>21612.28</v>
      </c>
      <c r="I148" s="5" t="s">
        <v>27</v>
      </c>
      <c r="J148" s="4">
        <v>116575</v>
      </c>
      <c r="K148" s="5" t="s">
        <v>656</v>
      </c>
      <c r="L148" s="5" t="s">
        <v>27</v>
      </c>
      <c r="M148" s="4">
        <v>11275</v>
      </c>
      <c r="N148" s="3">
        <v>933.92399999999998</v>
      </c>
    </row>
    <row r="149" spans="1:21">
      <c r="A149" s="6">
        <v>112</v>
      </c>
      <c r="B149" s="5" t="s">
        <v>305</v>
      </c>
      <c r="C149" s="5" t="s">
        <v>468</v>
      </c>
      <c r="D149" s="5" t="s">
        <v>467</v>
      </c>
      <c r="G149" s="5" t="s">
        <v>27</v>
      </c>
      <c r="H149" s="4">
        <v>21612.28</v>
      </c>
      <c r="I149" s="5" t="s">
        <v>27</v>
      </c>
      <c r="J149" s="4">
        <v>116575</v>
      </c>
      <c r="K149" s="5" t="s">
        <v>656</v>
      </c>
      <c r="L149" s="5" t="s">
        <v>27</v>
      </c>
      <c r="M149" s="4">
        <v>11275</v>
      </c>
      <c r="N149" s="3">
        <v>933.92399999999998</v>
      </c>
    </row>
    <row r="150" spans="1:21">
      <c r="A150" s="6">
        <v>112</v>
      </c>
      <c r="B150" s="5" t="s">
        <v>305</v>
      </c>
      <c r="C150" s="10" t="s">
        <v>469</v>
      </c>
      <c r="D150" s="5" t="s">
        <v>470</v>
      </c>
      <c r="E150" s="9" t="s">
        <v>224</v>
      </c>
      <c r="F150" s="9" t="s">
        <v>199</v>
      </c>
      <c r="G150" s="5" t="s">
        <v>27</v>
      </c>
      <c r="H150" s="4">
        <v>81098.27</v>
      </c>
      <c r="I150" s="5" t="s">
        <v>27</v>
      </c>
      <c r="J150" s="4">
        <v>53289.9</v>
      </c>
      <c r="K150" s="5" t="s">
        <v>657</v>
      </c>
      <c r="L150" s="5" t="s">
        <v>27</v>
      </c>
      <c r="M150" s="4">
        <v>60321.45</v>
      </c>
      <c r="N150" s="3">
        <v>-11.656000000000001</v>
      </c>
    </row>
    <row r="151" spans="1:21">
      <c r="A151" s="6">
        <v>112</v>
      </c>
      <c r="B151" s="5" t="s">
        <v>305</v>
      </c>
      <c r="C151" s="5" t="s">
        <v>471</v>
      </c>
      <c r="D151" s="5" t="s">
        <v>472</v>
      </c>
      <c r="G151" s="5" t="s">
        <v>27</v>
      </c>
      <c r="H151" s="4">
        <v>81098.27</v>
      </c>
      <c r="I151" s="5" t="s">
        <v>27</v>
      </c>
      <c r="J151" s="4">
        <v>53289.9</v>
      </c>
      <c r="K151" s="5" t="s">
        <v>657</v>
      </c>
      <c r="L151" s="5" t="s">
        <v>27</v>
      </c>
      <c r="M151" s="4">
        <v>60321.45</v>
      </c>
      <c r="N151" s="3">
        <v>-11.656000000000001</v>
      </c>
    </row>
    <row r="152" spans="1:21">
      <c r="A152" s="6">
        <v>112</v>
      </c>
      <c r="B152" s="5" t="s">
        <v>305</v>
      </c>
      <c r="C152" s="10" t="s">
        <v>473</v>
      </c>
      <c r="D152" s="5" t="s">
        <v>474</v>
      </c>
      <c r="E152" s="9" t="s">
        <v>224</v>
      </c>
      <c r="F152" s="9" t="s">
        <v>199</v>
      </c>
      <c r="G152" s="5" t="s">
        <v>27</v>
      </c>
      <c r="H152" s="4">
        <v>2439.62</v>
      </c>
      <c r="I152" s="5" t="s">
        <v>27</v>
      </c>
      <c r="J152" s="4">
        <v>8028.19</v>
      </c>
      <c r="K152" s="5" t="s">
        <v>658</v>
      </c>
      <c r="L152" s="5" t="s">
        <v>27</v>
      </c>
      <c r="M152" s="4">
        <v>3373.15</v>
      </c>
      <c r="N152" s="3">
        <v>138.00200000000001</v>
      </c>
      <c r="O152" s="9"/>
    </row>
    <row r="153" spans="1:21">
      <c r="A153" s="6">
        <v>112</v>
      </c>
      <c r="B153" s="5" t="s">
        <v>305</v>
      </c>
      <c r="C153" s="5" t="s">
        <v>475</v>
      </c>
      <c r="D153" s="5" t="s">
        <v>476</v>
      </c>
      <c r="E153" s="9" t="s">
        <v>247</v>
      </c>
      <c r="F153" s="9" t="s">
        <v>247</v>
      </c>
      <c r="G153" s="5" t="s">
        <v>27</v>
      </c>
      <c r="H153" s="4">
        <v>2439.62</v>
      </c>
      <c r="I153" s="5" t="s">
        <v>27</v>
      </c>
      <c r="J153" s="4">
        <v>8028.19</v>
      </c>
      <c r="K153" s="5" t="s">
        <v>658</v>
      </c>
      <c r="L153" s="5" t="s">
        <v>27</v>
      </c>
      <c r="M153" s="4">
        <v>3373.15</v>
      </c>
      <c r="N153" s="3">
        <v>138.00200000000001</v>
      </c>
      <c r="O153" s="9"/>
    </row>
    <row r="154" spans="1:21">
      <c r="A154" s="6">
        <v>112</v>
      </c>
      <c r="B154" s="5" t="s">
        <v>305</v>
      </c>
      <c r="C154" s="10" t="s">
        <v>477</v>
      </c>
      <c r="D154" s="5" t="s">
        <v>478</v>
      </c>
      <c r="E154" s="9" t="s">
        <v>224</v>
      </c>
      <c r="F154" s="9" t="s">
        <v>199</v>
      </c>
      <c r="G154" s="5" t="s">
        <v>27</v>
      </c>
      <c r="H154" s="4">
        <v>1024.4100000000001</v>
      </c>
      <c r="I154" s="5" t="s">
        <v>27</v>
      </c>
      <c r="J154" s="4">
        <v>1978.02</v>
      </c>
      <c r="K154" s="5" t="s">
        <v>659</v>
      </c>
      <c r="L154" s="5" t="s">
        <v>27</v>
      </c>
      <c r="M154" s="4">
        <v>4203.2299999999996</v>
      </c>
      <c r="N154" s="3">
        <v>-52.94</v>
      </c>
      <c r="O154" s="9"/>
    </row>
    <row r="155" spans="1:21">
      <c r="A155" s="6">
        <v>112</v>
      </c>
      <c r="B155" s="5" t="s">
        <v>305</v>
      </c>
      <c r="C155" s="5" t="s">
        <v>479</v>
      </c>
      <c r="D155" s="5" t="s">
        <v>480</v>
      </c>
      <c r="E155" s="9" t="s">
        <v>247</v>
      </c>
      <c r="F155" s="9" t="s">
        <v>247</v>
      </c>
      <c r="G155" s="5" t="s">
        <v>27</v>
      </c>
      <c r="H155" s="4">
        <v>1024.4100000000001</v>
      </c>
      <c r="I155" s="5" t="s">
        <v>27</v>
      </c>
      <c r="J155" s="4">
        <v>1978.02</v>
      </c>
      <c r="K155" s="5" t="s">
        <v>659</v>
      </c>
      <c r="L155" s="5" t="s">
        <v>27</v>
      </c>
      <c r="M155" s="4">
        <v>4203.2299999999996</v>
      </c>
      <c r="N155" s="3">
        <v>-52.94</v>
      </c>
      <c r="O155" s="9"/>
    </row>
    <row r="156" spans="1:21">
      <c r="A156" s="6">
        <v>112</v>
      </c>
      <c r="B156" s="5" t="s">
        <v>305</v>
      </c>
      <c r="C156" s="10" t="s">
        <v>481</v>
      </c>
      <c r="D156" s="5" t="s">
        <v>482</v>
      </c>
      <c r="E156" s="9" t="s">
        <v>224</v>
      </c>
      <c r="F156" s="9" t="s">
        <v>199</v>
      </c>
      <c r="G156" s="5" t="s">
        <v>27</v>
      </c>
      <c r="H156" s="4">
        <v>0</v>
      </c>
      <c r="I156" s="5"/>
      <c r="J156" s="4">
        <v>0</v>
      </c>
      <c r="K156" s="5"/>
      <c r="L156" s="5" t="s">
        <v>27</v>
      </c>
      <c r="M156" s="4">
        <v>800</v>
      </c>
      <c r="N156" s="3">
        <v>-100</v>
      </c>
    </row>
    <row r="157" spans="1:21">
      <c r="A157" s="6">
        <v>112</v>
      </c>
      <c r="B157" s="5" t="s">
        <v>305</v>
      </c>
      <c r="C157" s="10" t="s">
        <v>483</v>
      </c>
      <c r="D157" s="5" t="s">
        <v>484</v>
      </c>
      <c r="E157" s="9" t="s">
        <v>224</v>
      </c>
      <c r="F157" s="9" t="s">
        <v>199</v>
      </c>
      <c r="G157" s="5" t="s">
        <v>27</v>
      </c>
      <c r="H157" s="4">
        <v>372</v>
      </c>
      <c r="I157" s="5" t="s">
        <v>27</v>
      </c>
      <c r="J157" s="4">
        <v>207</v>
      </c>
      <c r="K157" s="5" t="s">
        <v>660</v>
      </c>
      <c r="L157" s="5"/>
      <c r="M157" s="4">
        <v>0</v>
      </c>
      <c r="N157" s="3">
        <v>100</v>
      </c>
      <c r="O157" s="9"/>
    </row>
    <row r="158" spans="1:21">
      <c r="A158" s="6">
        <v>112</v>
      </c>
      <c r="B158" s="5" t="s">
        <v>305</v>
      </c>
      <c r="C158" s="5" t="s">
        <v>485</v>
      </c>
      <c r="D158" s="5" t="s">
        <v>486</v>
      </c>
      <c r="G158" s="5" t="s">
        <v>27</v>
      </c>
      <c r="H158" s="4">
        <v>372</v>
      </c>
      <c r="I158" s="5" t="s">
        <v>27</v>
      </c>
      <c r="J158" s="4">
        <v>207</v>
      </c>
      <c r="K158" s="5" t="s">
        <v>660</v>
      </c>
      <c r="L158" s="5" t="s">
        <v>27</v>
      </c>
      <c r="M158" s="4">
        <v>800</v>
      </c>
      <c r="N158" s="3">
        <v>-74.125</v>
      </c>
      <c r="O158" s="9"/>
      <c r="U158" s="110"/>
    </row>
    <row r="159" spans="1:21">
      <c r="A159" s="6">
        <v>112</v>
      </c>
      <c r="B159" s="5" t="s">
        <v>305</v>
      </c>
      <c r="C159" s="10" t="s">
        <v>487</v>
      </c>
      <c r="D159" s="5" t="s">
        <v>488</v>
      </c>
      <c r="E159" s="9" t="s">
        <v>225</v>
      </c>
      <c r="F159" s="9" t="s">
        <v>197</v>
      </c>
      <c r="G159" s="5" t="s">
        <v>27</v>
      </c>
      <c r="H159" s="4">
        <v>108.55</v>
      </c>
      <c r="I159" s="5"/>
      <c r="J159" s="4">
        <v>0</v>
      </c>
      <c r="K159" s="5" t="s">
        <v>18</v>
      </c>
      <c r="L159" s="5"/>
      <c r="M159" s="4">
        <v>0</v>
      </c>
      <c r="N159" s="4"/>
      <c r="O159" s="140"/>
      <c r="U159" s="110"/>
    </row>
    <row r="160" spans="1:21">
      <c r="A160" s="6">
        <v>112</v>
      </c>
      <c r="B160" s="5" t="s">
        <v>305</v>
      </c>
      <c r="C160" s="10" t="s">
        <v>489</v>
      </c>
      <c r="D160" s="5" t="s">
        <v>490</v>
      </c>
      <c r="E160" s="9" t="s">
        <v>225</v>
      </c>
      <c r="F160" s="9" t="s">
        <v>197</v>
      </c>
      <c r="G160" s="5" t="s">
        <v>27</v>
      </c>
      <c r="H160" s="4">
        <v>0</v>
      </c>
      <c r="I160" s="5"/>
      <c r="J160" s="4">
        <v>0</v>
      </c>
      <c r="K160" s="5"/>
      <c r="L160" s="5" t="s">
        <v>27</v>
      </c>
      <c r="M160" s="4">
        <v>91.97</v>
      </c>
      <c r="N160" s="3">
        <v>-100</v>
      </c>
      <c r="O160" s="140"/>
      <c r="U160" s="110"/>
    </row>
    <row r="161" spans="1:21">
      <c r="A161" s="6">
        <v>112</v>
      </c>
      <c r="B161" s="5" t="s">
        <v>305</v>
      </c>
      <c r="C161" s="10" t="s">
        <v>491</v>
      </c>
      <c r="D161" s="5" t="s">
        <v>492</v>
      </c>
      <c r="E161" s="9" t="s">
        <v>225</v>
      </c>
      <c r="F161" s="9" t="s">
        <v>197</v>
      </c>
      <c r="G161" s="5" t="s">
        <v>27</v>
      </c>
      <c r="H161" s="4">
        <v>6847.36</v>
      </c>
      <c r="I161" s="5" t="s">
        <v>27</v>
      </c>
      <c r="J161" s="4">
        <v>6739.05</v>
      </c>
      <c r="K161" s="5" t="s">
        <v>661</v>
      </c>
      <c r="L161" s="5" t="s">
        <v>27</v>
      </c>
      <c r="M161" s="4">
        <v>5109.22</v>
      </c>
      <c r="N161" s="3">
        <v>31.899000000000001</v>
      </c>
      <c r="O161" s="9"/>
      <c r="U161" s="110"/>
    </row>
    <row r="162" spans="1:21">
      <c r="A162" s="6">
        <v>112</v>
      </c>
      <c r="B162" s="5" t="s">
        <v>305</v>
      </c>
      <c r="C162" s="10" t="s">
        <v>493</v>
      </c>
      <c r="D162" s="5" t="s">
        <v>494</v>
      </c>
      <c r="E162" s="9" t="s">
        <v>225</v>
      </c>
      <c r="F162" s="9" t="s">
        <v>197</v>
      </c>
      <c r="G162" s="5" t="s">
        <v>27</v>
      </c>
      <c r="H162" s="4">
        <v>316.45</v>
      </c>
      <c r="I162" s="5" t="s">
        <v>27</v>
      </c>
      <c r="J162" s="4">
        <v>290.17</v>
      </c>
      <c r="K162" s="5" t="s">
        <v>662</v>
      </c>
      <c r="L162" s="5" t="s">
        <v>27</v>
      </c>
      <c r="M162" s="4">
        <v>503.32</v>
      </c>
      <c r="N162" s="3">
        <v>-42.347999999999999</v>
      </c>
      <c r="O162" s="9"/>
      <c r="U162" s="110"/>
    </row>
    <row r="163" spans="1:21">
      <c r="A163" s="6">
        <v>112</v>
      </c>
      <c r="B163" s="5" t="s">
        <v>305</v>
      </c>
      <c r="C163" s="10" t="s">
        <v>75</v>
      </c>
      <c r="D163" s="5" t="s">
        <v>74</v>
      </c>
      <c r="E163" s="9" t="s">
        <v>225</v>
      </c>
      <c r="F163" s="9" t="s">
        <v>197</v>
      </c>
      <c r="G163" s="5" t="s">
        <v>27</v>
      </c>
      <c r="H163" s="4">
        <v>150.63</v>
      </c>
      <c r="I163" s="5" t="s">
        <v>27</v>
      </c>
      <c r="J163" s="4">
        <v>203.98</v>
      </c>
      <c r="K163" s="5" t="s">
        <v>663</v>
      </c>
      <c r="L163" s="5" t="s">
        <v>27</v>
      </c>
      <c r="M163" s="4">
        <v>211.39</v>
      </c>
      <c r="N163" s="3">
        <v>-3.5049999999999999</v>
      </c>
      <c r="O163" s="9"/>
      <c r="U163" s="110"/>
    </row>
    <row r="164" spans="1:21">
      <c r="A164" s="6">
        <v>112</v>
      </c>
      <c r="B164" s="5" t="s">
        <v>305</v>
      </c>
      <c r="C164" s="5" t="s">
        <v>73</v>
      </c>
      <c r="D164" s="5" t="s">
        <v>72</v>
      </c>
      <c r="G164" s="5" t="s">
        <v>27</v>
      </c>
      <c r="H164" s="4">
        <v>7422.99</v>
      </c>
      <c r="I164" s="5" t="s">
        <v>27</v>
      </c>
      <c r="J164" s="4">
        <v>7233.2</v>
      </c>
      <c r="K164" s="5" t="s">
        <v>664</v>
      </c>
      <c r="L164" s="5" t="s">
        <v>27</v>
      </c>
      <c r="M164" s="4">
        <v>5915.9</v>
      </c>
      <c r="N164" s="3">
        <v>22.266999999999999</v>
      </c>
      <c r="O164" s="9"/>
      <c r="U164" s="110"/>
    </row>
    <row r="165" spans="1:21">
      <c r="A165" s="6">
        <v>112</v>
      </c>
      <c r="B165" s="5" t="s">
        <v>305</v>
      </c>
      <c r="C165" s="5" t="s">
        <v>71</v>
      </c>
      <c r="D165" s="5" t="s">
        <v>70</v>
      </c>
      <c r="G165" s="5" t="s">
        <v>27</v>
      </c>
      <c r="H165" s="4">
        <v>92357.29</v>
      </c>
      <c r="I165" s="5" t="s">
        <v>27</v>
      </c>
      <c r="J165" s="4">
        <v>70736.31</v>
      </c>
      <c r="K165" s="5" t="s">
        <v>665</v>
      </c>
      <c r="L165" s="5" t="s">
        <v>27</v>
      </c>
      <c r="M165" s="4">
        <v>74613.73</v>
      </c>
      <c r="N165" s="3">
        <v>-5.1959999999999997</v>
      </c>
      <c r="O165" s="9"/>
      <c r="U165" s="110"/>
    </row>
    <row r="166" spans="1:21">
      <c r="A166" s="6">
        <v>112</v>
      </c>
      <c r="B166" s="5" t="s">
        <v>305</v>
      </c>
      <c r="C166" s="10" t="s">
        <v>495</v>
      </c>
      <c r="D166" s="5" t="s">
        <v>496</v>
      </c>
      <c r="E166" s="9" t="s">
        <v>224</v>
      </c>
      <c r="F166" s="9" t="s">
        <v>199</v>
      </c>
      <c r="G166" s="5" t="s">
        <v>27</v>
      </c>
      <c r="H166" s="4">
        <v>110</v>
      </c>
      <c r="I166" s="5" t="s">
        <v>27</v>
      </c>
      <c r="J166" s="4">
        <v>27.54</v>
      </c>
      <c r="K166" s="5" t="s">
        <v>666</v>
      </c>
      <c r="L166" s="5" t="s">
        <v>27</v>
      </c>
      <c r="M166" s="4">
        <v>200.4</v>
      </c>
      <c r="N166" s="3">
        <v>-86.257000000000005</v>
      </c>
      <c r="O166" s="9"/>
      <c r="U166" s="110"/>
    </row>
    <row r="167" spans="1:21">
      <c r="A167" s="6">
        <v>112</v>
      </c>
      <c r="B167" s="5" t="s">
        <v>305</v>
      </c>
      <c r="C167" s="10" t="s">
        <v>497</v>
      </c>
      <c r="D167" s="5" t="s">
        <v>498</v>
      </c>
      <c r="E167" s="9" t="s">
        <v>224</v>
      </c>
      <c r="F167" s="9" t="s">
        <v>199</v>
      </c>
      <c r="G167" s="5" t="s">
        <v>27</v>
      </c>
      <c r="H167" s="4">
        <v>70315</v>
      </c>
      <c r="I167" s="5" t="s">
        <v>27</v>
      </c>
      <c r="J167" s="4">
        <v>110368.4</v>
      </c>
      <c r="K167" s="5" t="s">
        <v>667</v>
      </c>
      <c r="L167" s="5" t="s">
        <v>27</v>
      </c>
      <c r="M167" s="4">
        <v>83661.25</v>
      </c>
      <c r="N167" s="3">
        <v>31.922000000000001</v>
      </c>
      <c r="O167" s="9"/>
      <c r="U167" s="110"/>
    </row>
    <row r="168" spans="1:21">
      <c r="A168" s="6">
        <v>112</v>
      </c>
      <c r="B168" s="5" t="s">
        <v>305</v>
      </c>
      <c r="C168" s="10" t="s">
        <v>499</v>
      </c>
      <c r="D168" s="5" t="s">
        <v>500</v>
      </c>
      <c r="E168" s="9" t="s">
        <v>225</v>
      </c>
      <c r="F168" s="9" t="s">
        <v>197</v>
      </c>
      <c r="G168" s="5" t="s">
        <v>27</v>
      </c>
      <c r="H168" s="4">
        <v>4334.99</v>
      </c>
      <c r="I168" s="5" t="s">
        <v>27</v>
      </c>
      <c r="J168" s="4">
        <v>2810.61</v>
      </c>
      <c r="K168" s="5" t="s">
        <v>668</v>
      </c>
      <c r="L168" s="5" t="s">
        <v>27</v>
      </c>
      <c r="M168" s="4">
        <v>7804.13</v>
      </c>
      <c r="N168" s="3">
        <v>-63.984999999999999</v>
      </c>
      <c r="O168" s="9"/>
      <c r="U168" s="110"/>
    </row>
    <row r="169" spans="1:21">
      <c r="A169" s="6">
        <v>112</v>
      </c>
      <c r="B169" s="5" t="s">
        <v>305</v>
      </c>
      <c r="C169" s="10" t="s">
        <v>501</v>
      </c>
      <c r="D169" s="5" t="s">
        <v>502</v>
      </c>
      <c r="E169" s="9" t="s">
        <v>225</v>
      </c>
      <c r="F169" s="9" t="s">
        <v>197</v>
      </c>
      <c r="G169" s="5" t="s">
        <v>27</v>
      </c>
      <c r="H169" s="4">
        <v>1511.85</v>
      </c>
      <c r="I169" s="5" t="s">
        <v>27</v>
      </c>
      <c r="J169" s="4">
        <v>21587.96</v>
      </c>
      <c r="K169" s="5" t="s">
        <v>669</v>
      </c>
      <c r="L169" s="5"/>
      <c r="M169" s="4">
        <v>0</v>
      </c>
      <c r="N169" s="3">
        <v>100</v>
      </c>
      <c r="O169" s="9"/>
      <c r="U169" s="110"/>
    </row>
    <row r="170" spans="1:21">
      <c r="A170" s="6">
        <v>112</v>
      </c>
      <c r="B170" s="5" t="s">
        <v>305</v>
      </c>
      <c r="C170" s="10" t="s">
        <v>503</v>
      </c>
      <c r="D170" s="5" t="s">
        <v>504</v>
      </c>
      <c r="E170" s="9" t="s">
        <v>225</v>
      </c>
      <c r="F170" s="9" t="s">
        <v>197</v>
      </c>
      <c r="G170" s="5" t="s">
        <v>27</v>
      </c>
      <c r="H170" s="4">
        <v>289.12</v>
      </c>
      <c r="I170" s="5" t="s">
        <v>27</v>
      </c>
      <c r="J170" s="4">
        <v>154.59</v>
      </c>
      <c r="K170" s="5" t="s">
        <v>670</v>
      </c>
      <c r="L170" s="5" t="s">
        <v>27</v>
      </c>
      <c r="M170" s="4">
        <v>153.01</v>
      </c>
      <c r="N170" s="3">
        <v>1.032</v>
      </c>
      <c r="O170" s="9"/>
      <c r="U170" s="110"/>
    </row>
    <row r="171" spans="1:21">
      <c r="A171" s="6">
        <v>112</v>
      </c>
      <c r="B171" s="5" t="s">
        <v>305</v>
      </c>
      <c r="C171" s="10" t="s">
        <v>505</v>
      </c>
      <c r="D171" s="5" t="s">
        <v>506</v>
      </c>
      <c r="E171" s="9" t="s">
        <v>225</v>
      </c>
      <c r="F171" s="9" t="s">
        <v>197</v>
      </c>
      <c r="G171" s="5" t="s">
        <v>27</v>
      </c>
      <c r="H171" s="4">
        <v>2869.04</v>
      </c>
      <c r="I171" s="5" t="s">
        <v>27</v>
      </c>
      <c r="J171" s="4">
        <v>3460.82</v>
      </c>
      <c r="K171" s="5" t="s">
        <v>671</v>
      </c>
      <c r="L171" s="5" t="s">
        <v>27</v>
      </c>
      <c r="M171" s="4">
        <v>3426.98</v>
      </c>
      <c r="N171" s="3">
        <v>0.98699999999999999</v>
      </c>
    </row>
    <row r="172" spans="1:21">
      <c r="A172" s="6">
        <v>112</v>
      </c>
      <c r="B172" s="5" t="s">
        <v>305</v>
      </c>
      <c r="C172" s="10" t="s">
        <v>507</v>
      </c>
      <c r="D172" s="5" t="s">
        <v>508</v>
      </c>
      <c r="E172" s="9" t="s">
        <v>225</v>
      </c>
      <c r="F172" s="9" t="s">
        <v>197</v>
      </c>
      <c r="G172" s="5" t="s">
        <v>27</v>
      </c>
      <c r="H172" s="4">
        <v>368.46</v>
      </c>
      <c r="I172" s="5" t="s">
        <v>27</v>
      </c>
      <c r="J172" s="4">
        <v>1498.24</v>
      </c>
      <c r="K172" s="5" t="s">
        <v>672</v>
      </c>
      <c r="L172" s="5" t="s">
        <v>27</v>
      </c>
      <c r="M172" s="4">
        <v>2425.2399999999998</v>
      </c>
      <c r="N172" s="3">
        <v>-38.222999999999999</v>
      </c>
    </row>
    <row r="173" spans="1:21">
      <c r="A173" s="6">
        <v>112</v>
      </c>
      <c r="B173" s="5" t="s">
        <v>305</v>
      </c>
      <c r="C173" s="10" t="s">
        <v>509</v>
      </c>
      <c r="D173" s="5" t="s">
        <v>510</v>
      </c>
      <c r="E173" s="9" t="s">
        <v>225</v>
      </c>
      <c r="F173" s="9" t="s">
        <v>197</v>
      </c>
      <c r="G173" s="5" t="s">
        <v>27</v>
      </c>
      <c r="H173" s="4">
        <v>430.98</v>
      </c>
      <c r="I173" s="5"/>
      <c r="J173" s="4">
        <v>0</v>
      </c>
      <c r="K173" s="5" t="s">
        <v>18</v>
      </c>
      <c r="L173" s="5"/>
      <c r="M173" s="4">
        <v>0</v>
      </c>
      <c r="N173" s="4"/>
    </row>
    <row r="174" spans="1:21">
      <c r="A174" s="6">
        <v>112</v>
      </c>
      <c r="B174" s="5" t="s">
        <v>305</v>
      </c>
      <c r="C174" s="10" t="s">
        <v>511</v>
      </c>
      <c r="D174" s="5" t="s">
        <v>512</v>
      </c>
      <c r="E174" s="9" t="s">
        <v>225</v>
      </c>
      <c r="F174" s="9" t="s">
        <v>197</v>
      </c>
      <c r="G174" s="5" t="s">
        <v>27</v>
      </c>
      <c r="H174" s="4">
        <v>2245.3000000000002</v>
      </c>
      <c r="I174" s="5" t="s">
        <v>27</v>
      </c>
      <c r="J174" s="4">
        <v>146</v>
      </c>
      <c r="K174" s="5" t="s">
        <v>37</v>
      </c>
      <c r="L174" s="5" t="s">
        <v>27</v>
      </c>
      <c r="M174" s="4">
        <v>862.5</v>
      </c>
      <c r="N174" s="3">
        <v>-83.072000000000003</v>
      </c>
    </row>
    <row r="175" spans="1:21">
      <c r="A175" s="6">
        <v>112</v>
      </c>
      <c r="B175" s="5" t="s">
        <v>305</v>
      </c>
      <c r="C175" s="10" t="s">
        <v>513</v>
      </c>
      <c r="D175" s="5" t="s">
        <v>514</v>
      </c>
      <c r="E175" s="9" t="s">
        <v>225</v>
      </c>
      <c r="F175" s="9" t="s">
        <v>197</v>
      </c>
      <c r="G175" s="5" t="s">
        <v>27</v>
      </c>
      <c r="H175" s="4">
        <v>3674.15</v>
      </c>
      <c r="I175" s="5" t="s">
        <v>27</v>
      </c>
      <c r="J175" s="4">
        <v>4995.95</v>
      </c>
      <c r="K175" s="5" t="s">
        <v>673</v>
      </c>
      <c r="L175" s="5" t="s">
        <v>27</v>
      </c>
      <c r="M175" s="4">
        <v>2370.5</v>
      </c>
      <c r="N175" s="3">
        <v>110.755</v>
      </c>
    </row>
    <row r="176" spans="1:21">
      <c r="A176" s="6">
        <v>112</v>
      </c>
      <c r="B176" s="5" t="s">
        <v>305</v>
      </c>
      <c r="C176" s="10" t="s">
        <v>515</v>
      </c>
      <c r="D176" s="5" t="s">
        <v>516</v>
      </c>
      <c r="E176" s="9" t="s">
        <v>225</v>
      </c>
      <c r="F176" s="9" t="s">
        <v>197</v>
      </c>
      <c r="G176" s="5" t="s">
        <v>27</v>
      </c>
      <c r="H176" s="4">
        <v>573.77</v>
      </c>
      <c r="I176" s="5" t="s">
        <v>27</v>
      </c>
      <c r="J176" s="4">
        <v>513.12</v>
      </c>
      <c r="K176" s="5" t="s">
        <v>674</v>
      </c>
      <c r="L176" s="5"/>
      <c r="M176" s="4">
        <v>0</v>
      </c>
      <c r="N176" s="3">
        <v>100</v>
      </c>
    </row>
    <row r="177" spans="1:15">
      <c r="A177" s="6">
        <v>112</v>
      </c>
      <c r="B177" s="5" t="s">
        <v>305</v>
      </c>
      <c r="C177" s="10" t="s">
        <v>517</v>
      </c>
      <c r="D177" s="5" t="s">
        <v>518</v>
      </c>
      <c r="E177" s="9" t="s">
        <v>225</v>
      </c>
      <c r="F177" s="9" t="s">
        <v>197</v>
      </c>
      <c r="G177" s="5" t="s">
        <v>27</v>
      </c>
      <c r="H177" s="4">
        <v>0</v>
      </c>
      <c r="I177" s="5" t="s">
        <v>27</v>
      </c>
      <c r="J177" s="4">
        <v>318.5</v>
      </c>
      <c r="K177" s="5" t="s">
        <v>19</v>
      </c>
      <c r="L177" s="5" t="s">
        <v>27</v>
      </c>
      <c r="M177" s="4">
        <v>519</v>
      </c>
      <c r="N177" s="3">
        <v>-38.631</v>
      </c>
    </row>
    <row r="178" spans="1:15">
      <c r="A178" s="6">
        <v>112</v>
      </c>
      <c r="B178" s="5" t="s">
        <v>305</v>
      </c>
      <c r="C178" s="10" t="s">
        <v>69</v>
      </c>
      <c r="D178" s="5" t="s">
        <v>68</v>
      </c>
      <c r="E178" s="9" t="s">
        <v>225</v>
      </c>
      <c r="F178" s="9" t="s">
        <v>202</v>
      </c>
      <c r="G178" s="5" t="s">
        <v>27</v>
      </c>
      <c r="H178" s="4">
        <v>263.77</v>
      </c>
      <c r="I178" s="5" t="s">
        <v>27</v>
      </c>
      <c r="J178" s="4">
        <v>342.63</v>
      </c>
      <c r="K178" s="5" t="s">
        <v>675</v>
      </c>
      <c r="L178" s="5" t="s">
        <v>27</v>
      </c>
      <c r="M178" s="4">
        <v>1684.98</v>
      </c>
      <c r="N178" s="3">
        <v>-79.665000000000006</v>
      </c>
    </row>
    <row r="179" spans="1:15">
      <c r="A179" s="6">
        <v>112</v>
      </c>
      <c r="B179" s="5" t="s">
        <v>305</v>
      </c>
      <c r="C179" s="10" t="s">
        <v>519</v>
      </c>
      <c r="D179" s="5" t="s">
        <v>520</v>
      </c>
      <c r="E179" s="9" t="s">
        <v>224</v>
      </c>
      <c r="F179" s="9" t="s">
        <v>199</v>
      </c>
      <c r="G179" s="5" t="s">
        <v>27</v>
      </c>
      <c r="H179" s="4">
        <v>0</v>
      </c>
      <c r="I179" s="5"/>
      <c r="J179" s="4">
        <v>0</v>
      </c>
      <c r="K179" s="5"/>
      <c r="L179" s="5" t="s">
        <v>27</v>
      </c>
      <c r="M179" s="4">
        <v>88.5</v>
      </c>
      <c r="N179" s="3">
        <v>-100</v>
      </c>
    </row>
    <row r="180" spans="1:15">
      <c r="A180" s="6">
        <v>112</v>
      </c>
      <c r="B180" s="5" t="s">
        <v>305</v>
      </c>
      <c r="C180" s="10" t="s">
        <v>521</v>
      </c>
      <c r="D180" s="5" t="s">
        <v>67</v>
      </c>
      <c r="E180" s="9" t="s">
        <v>225</v>
      </c>
      <c r="F180" s="9" t="s">
        <v>202</v>
      </c>
      <c r="G180" s="5" t="s">
        <v>27</v>
      </c>
      <c r="H180" s="4">
        <v>53</v>
      </c>
      <c r="I180" s="5" t="s">
        <v>27</v>
      </c>
      <c r="J180" s="4">
        <v>6.55</v>
      </c>
      <c r="K180" s="5" t="s">
        <v>676</v>
      </c>
      <c r="L180" s="5" t="s">
        <v>27</v>
      </c>
      <c r="M180" s="4">
        <v>13.1</v>
      </c>
      <c r="N180" s="3">
        <v>-50</v>
      </c>
    </row>
    <row r="181" spans="1:15">
      <c r="A181" s="6">
        <v>112</v>
      </c>
      <c r="B181" s="5" t="s">
        <v>305</v>
      </c>
      <c r="C181" s="10" t="s">
        <v>285</v>
      </c>
      <c r="D181" s="5" t="s">
        <v>286</v>
      </c>
      <c r="E181" s="9" t="s">
        <v>225</v>
      </c>
      <c r="F181" s="9" t="s">
        <v>197</v>
      </c>
      <c r="G181" s="5" t="s">
        <v>27</v>
      </c>
      <c r="H181" s="4">
        <v>484</v>
      </c>
      <c r="I181" s="5" t="s">
        <v>27</v>
      </c>
      <c r="J181" s="4">
        <v>887</v>
      </c>
      <c r="K181" s="5" t="s">
        <v>677</v>
      </c>
      <c r="L181" s="5" t="s">
        <v>27</v>
      </c>
      <c r="M181" s="4">
        <v>920.11</v>
      </c>
      <c r="N181" s="3">
        <v>-3.5979999999999999</v>
      </c>
    </row>
    <row r="182" spans="1:15">
      <c r="A182" s="6">
        <v>112</v>
      </c>
      <c r="B182" s="5" t="s">
        <v>305</v>
      </c>
      <c r="C182" s="10" t="s">
        <v>522</v>
      </c>
      <c r="D182" s="5" t="s">
        <v>523</v>
      </c>
      <c r="E182" s="9" t="s">
        <v>225</v>
      </c>
      <c r="F182" s="9" t="s">
        <v>197</v>
      </c>
      <c r="G182" s="5" t="s">
        <v>27</v>
      </c>
      <c r="H182" s="4">
        <v>0</v>
      </c>
      <c r="I182" s="5" t="s">
        <v>27</v>
      </c>
      <c r="J182" s="4">
        <v>500</v>
      </c>
      <c r="K182" s="5" t="s">
        <v>19</v>
      </c>
      <c r="L182" s="5" t="s">
        <v>27</v>
      </c>
      <c r="M182" s="4">
        <v>500</v>
      </c>
      <c r="N182" s="4"/>
    </row>
    <row r="183" spans="1:15">
      <c r="A183" s="6">
        <v>112</v>
      </c>
      <c r="B183" s="5" t="s">
        <v>305</v>
      </c>
      <c r="C183" s="10" t="s">
        <v>66</v>
      </c>
      <c r="D183" s="5" t="s">
        <v>65</v>
      </c>
      <c r="E183" s="9" t="s">
        <v>225</v>
      </c>
      <c r="F183" s="9" t="s">
        <v>197</v>
      </c>
      <c r="G183" s="5" t="s">
        <v>27</v>
      </c>
      <c r="H183" s="4">
        <v>6868</v>
      </c>
      <c r="I183" s="5" t="s">
        <v>27</v>
      </c>
      <c r="J183" s="4">
        <v>7147.55</v>
      </c>
      <c r="K183" s="5" t="s">
        <v>678</v>
      </c>
      <c r="L183" s="5" t="s">
        <v>27</v>
      </c>
      <c r="M183" s="4">
        <v>5756.36</v>
      </c>
      <c r="N183" s="3">
        <v>24.167000000000002</v>
      </c>
    </row>
    <row r="184" spans="1:15">
      <c r="A184" s="6">
        <v>112</v>
      </c>
      <c r="B184" s="5" t="s">
        <v>305</v>
      </c>
      <c r="C184" s="10" t="s">
        <v>524</v>
      </c>
      <c r="D184" s="5" t="s">
        <v>525</v>
      </c>
      <c r="E184" s="9" t="s">
        <v>225</v>
      </c>
      <c r="F184" s="9" t="s">
        <v>197</v>
      </c>
      <c r="G184" s="5" t="s">
        <v>27</v>
      </c>
      <c r="H184" s="4">
        <v>1851.38</v>
      </c>
      <c r="I184" s="5" t="s">
        <v>27</v>
      </c>
      <c r="J184" s="4">
        <v>1672.2</v>
      </c>
      <c r="K184" s="5" t="s">
        <v>679</v>
      </c>
      <c r="L184" s="5" t="s">
        <v>27</v>
      </c>
      <c r="M184" s="4">
        <v>1537.2</v>
      </c>
      <c r="N184" s="3">
        <v>8.782</v>
      </c>
    </row>
    <row r="185" spans="1:15">
      <c r="A185" s="6">
        <v>112</v>
      </c>
      <c r="B185" s="5" t="s">
        <v>305</v>
      </c>
      <c r="C185" s="10" t="s">
        <v>526</v>
      </c>
      <c r="D185" s="5" t="s">
        <v>527</v>
      </c>
      <c r="E185" s="9" t="s">
        <v>225</v>
      </c>
      <c r="F185" s="9" t="s">
        <v>197</v>
      </c>
      <c r="G185" s="5" t="s">
        <v>27</v>
      </c>
      <c r="H185" s="4">
        <v>1000</v>
      </c>
      <c r="I185" s="5"/>
      <c r="J185" s="4">
        <v>0</v>
      </c>
      <c r="K185" s="5" t="s">
        <v>18</v>
      </c>
      <c r="L185" s="5"/>
      <c r="M185" s="4">
        <v>0</v>
      </c>
      <c r="N185" s="4"/>
    </row>
    <row r="186" spans="1:15">
      <c r="A186" s="6">
        <v>112</v>
      </c>
      <c r="B186" s="5" t="s">
        <v>305</v>
      </c>
      <c r="C186" s="10" t="s">
        <v>528</v>
      </c>
      <c r="D186" s="5" t="s">
        <v>529</v>
      </c>
      <c r="E186" s="9" t="s">
        <v>225</v>
      </c>
      <c r="F186" s="9" t="s">
        <v>202</v>
      </c>
      <c r="G186" s="5" t="s">
        <v>27</v>
      </c>
      <c r="H186" s="4">
        <v>1000</v>
      </c>
      <c r="I186" s="5" t="s">
        <v>27</v>
      </c>
      <c r="J186" s="4">
        <v>610</v>
      </c>
      <c r="K186" s="5" t="s">
        <v>680</v>
      </c>
      <c r="L186" s="5"/>
      <c r="M186" s="4">
        <v>0</v>
      </c>
      <c r="N186" s="3">
        <v>100</v>
      </c>
    </row>
    <row r="187" spans="1:15">
      <c r="A187" s="6">
        <v>112</v>
      </c>
      <c r="B187" s="5" t="s">
        <v>305</v>
      </c>
      <c r="C187" s="10" t="s">
        <v>530</v>
      </c>
      <c r="D187" s="5" t="s">
        <v>531</v>
      </c>
      <c r="E187" s="9" t="s">
        <v>225</v>
      </c>
      <c r="F187" s="9" t="s">
        <v>197</v>
      </c>
      <c r="G187" s="5" t="s">
        <v>27</v>
      </c>
      <c r="H187" s="4">
        <v>0</v>
      </c>
      <c r="I187" s="5" t="s">
        <v>27</v>
      </c>
      <c r="J187" s="4">
        <v>1200</v>
      </c>
      <c r="K187" s="5" t="s">
        <v>19</v>
      </c>
      <c r="L187" s="5" t="s">
        <v>27</v>
      </c>
      <c r="M187" s="4">
        <v>1228</v>
      </c>
      <c r="N187" s="3">
        <v>-2.2799999999999998</v>
      </c>
    </row>
    <row r="188" spans="1:15">
      <c r="A188" s="6">
        <v>112</v>
      </c>
      <c r="B188" s="5" t="s">
        <v>305</v>
      </c>
      <c r="C188" s="10" t="s">
        <v>532</v>
      </c>
      <c r="D188" s="5" t="s">
        <v>533</v>
      </c>
      <c r="E188" s="9" t="s">
        <v>225</v>
      </c>
      <c r="F188" s="9" t="s">
        <v>197</v>
      </c>
      <c r="G188" s="5" t="s">
        <v>27</v>
      </c>
      <c r="H188" s="4">
        <v>0</v>
      </c>
      <c r="I188" s="5"/>
      <c r="J188" s="4">
        <v>0</v>
      </c>
      <c r="K188" s="5"/>
      <c r="L188" s="5" t="s">
        <v>27</v>
      </c>
      <c r="M188" s="4">
        <v>32</v>
      </c>
      <c r="N188" s="3">
        <v>-100</v>
      </c>
    </row>
    <row r="189" spans="1:15">
      <c r="A189" s="6">
        <v>112</v>
      </c>
      <c r="B189" s="5" t="s">
        <v>305</v>
      </c>
      <c r="C189" s="10" t="s">
        <v>64</v>
      </c>
      <c r="D189" s="5" t="s">
        <v>63</v>
      </c>
      <c r="E189" s="9" t="s">
        <v>225</v>
      </c>
      <c r="F189" s="9" t="s">
        <v>197</v>
      </c>
      <c r="G189" s="5" t="s">
        <v>27</v>
      </c>
      <c r="H189" s="4">
        <v>212.85</v>
      </c>
      <c r="I189" s="5" t="s">
        <v>27</v>
      </c>
      <c r="J189" s="4">
        <v>278.76</v>
      </c>
      <c r="K189" s="5" t="s">
        <v>681</v>
      </c>
      <c r="L189" s="5" t="s">
        <v>27</v>
      </c>
      <c r="M189" s="4">
        <v>324</v>
      </c>
      <c r="N189" s="3">
        <v>-13.962</v>
      </c>
    </row>
    <row r="190" spans="1:15">
      <c r="A190" s="6">
        <v>112</v>
      </c>
      <c r="B190" s="5" t="s">
        <v>305</v>
      </c>
      <c r="C190" s="10" t="s">
        <v>534</v>
      </c>
      <c r="D190" s="5" t="s">
        <v>535</v>
      </c>
      <c r="E190" s="9" t="s">
        <v>225</v>
      </c>
      <c r="F190" s="9" t="s">
        <v>197</v>
      </c>
      <c r="G190" s="5" t="s">
        <v>27</v>
      </c>
      <c r="H190" s="4">
        <v>57.98</v>
      </c>
      <c r="I190" s="5"/>
      <c r="J190" s="4">
        <v>0</v>
      </c>
      <c r="K190" s="5" t="s">
        <v>18</v>
      </c>
      <c r="L190" s="5"/>
      <c r="M190" s="4">
        <v>0</v>
      </c>
      <c r="N190" s="4"/>
      <c r="O190" s="9"/>
    </row>
    <row r="191" spans="1:15">
      <c r="A191" s="6">
        <v>112</v>
      </c>
      <c r="B191" s="5" t="s">
        <v>305</v>
      </c>
      <c r="C191" s="10" t="s">
        <v>536</v>
      </c>
      <c r="D191" s="5" t="s">
        <v>537</v>
      </c>
      <c r="E191" s="9" t="s">
        <v>225</v>
      </c>
      <c r="F191" s="9" t="s">
        <v>197</v>
      </c>
      <c r="G191" s="5" t="s">
        <v>27</v>
      </c>
      <c r="H191" s="4">
        <v>907.44</v>
      </c>
      <c r="I191" s="5" t="s">
        <v>27</v>
      </c>
      <c r="J191" s="4">
        <v>746.95</v>
      </c>
      <c r="K191" s="5" t="s">
        <v>682</v>
      </c>
      <c r="L191" s="5"/>
      <c r="M191" s="4">
        <v>0</v>
      </c>
      <c r="N191" s="3">
        <v>100</v>
      </c>
      <c r="O191" s="9"/>
    </row>
    <row r="192" spans="1:15">
      <c r="A192" s="6">
        <v>112</v>
      </c>
      <c r="B192" s="5" t="s">
        <v>305</v>
      </c>
      <c r="C192" s="5" t="s">
        <v>62</v>
      </c>
      <c r="D192" s="5" t="s">
        <v>60</v>
      </c>
      <c r="G192" s="5" t="s">
        <v>27</v>
      </c>
      <c r="H192" s="4">
        <v>99421.08</v>
      </c>
      <c r="I192" s="5" t="s">
        <v>27</v>
      </c>
      <c r="J192" s="4">
        <v>159273.37</v>
      </c>
      <c r="K192" s="5" t="s">
        <v>683</v>
      </c>
      <c r="L192" s="5" t="s">
        <v>27</v>
      </c>
      <c r="M192" s="4">
        <v>113507.26</v>
      </c>
      <c r="N192" s="3">
        <v>40.319000000000003</v>
      </c>
      <c r="O192" s="9"/>
    </row>
    <row r="193" spans="1:21">
      <c r="A193" s="6">
        <v>112</v>
      </c>
      <c r="B193" s="5" t="s">
        <v>305</v>
      </c>
      <c r="C193" s="5" t="s">
        <v>61</v>
      </c>
      <c r="D193" s="5" t="s">
        <v>60</v>
      </c>
      <c r="G193" s="5" t="s">
        <v>27</v>
      </c>
      <c r="H193" s="4">
        <v>99421.08</v>
      </c>
      <c r="I193" s="5" t="s">
        <v>27</v>
      </c>
      <c r="J193" s="4">
        <v>159273.37</v>
      </c>
      <c r="K193" s="5" t="s">
        <v>683</v>
      </c>
      <c r="L193" s="5" t="s">
        <v>27</v>
      </c>
      <c r="M193" s="4">
        <v>113507.26</v>
      </c>
      <c r="N193" s="3">
        <v>40.319000000000003</v>
      </c>
      <c r="O193" s="9"/>
    </row>
    <row r="194" spans="1:21">
      <c r="A194" s="6">
        <v>112</v>
      </c>
      <c r="B194" s="5" t="s">
        <v>305</v>
      </c>
      <c r="C194" s="5" t="s">
        <v>538</v>
      </c>
      <c r="D194" s="5" t="s">
        <v>539</v>
      </c>
      <c r="G194" s="5" t="s">
        <v>27</v>
      </c>
      <c r="H194" s="4">
        <v>34800</v>
      </c>
      <c r="I194" s="5" t="s">
        <v>27</v>
      </c>
      <c r="J194" s="4">
        <v>34800</v>
      </c>
      <c r="K194" s="5"/>
      <c r="L194" s="5" t="s">
        <v>27</v>
      </c>
      <c r="M194" s="4">
        <v>34800</v>
      </c>
      <c r="N194" s="4"/>
    </row>
    <row r="195" spans="1:21">
      <c r="A195" s="6">
        <v>112</v>
      </c>
      <c r="B195" s="5" t="s">
        <v>305</v>
      </c>
      <c r="C195" s="5" t="s">
        <v>540</v>
      </c>
      <c r="D195" s="5" t="s">
        <v>541</v>
      </c>
      <c r="G195" s="5" t="s">
        <v>27</v>
      </c>
      <c r="H195" s="4">
        <v>12229.02</v>
      </c>
      <c r="I195" s="5" t="s">
        <v>27</v>
      </c>
      <c r="J195" s="4">
        <v>5399.51</v>
      </c>
      <c r="K195" s="5" t="s">
        <v>684</v>
      </c>
      <c r="L195" s="5" t="s">
        <v>27</v>
      </c>
      <c r="M195" s="4">
        <v>6133.29</v>
      </c>
      <c r="N195" s="3">
        <v>-11.962999999999999</v>
      </c>
      <c r="O195" s="9"/>
    </row>
    <row r="196" spans="1:21">
      <c r="A196" s="6">
        <v>112</v>
      </c>
      <c r="B196" s="5" t="s">
        <v>305</v>
      </c>
      <c r="C196" s="10" t="s">
        <v>542</v>
      </c>
      <c r="D196" s="5" t="s">
        <v>543</v>
      </c>
      <c r="E196" s="9" t="s">
        <v>225</v>
      </c>
      <c r="F196" s="9" t="s">
        <v>198</v>
      </c>
      <c r="G196" s="5" t="s">
        <v>27</v>
      </c>
      <c r="H196" s="4">
        <v>47029.02</v>
      </c>
      <c r="I196" s="5" t="s">
        <v>27</v>
      </c>
      <c r="J196" s="4">
        <v>40199.51</v>
      </c>
      <c r="K196" s="5" t="s">
        <v>685</v>
      </c>
      <c r="L196" s="5" t="s">
        <v>27</v>
      </c>
      <c r="M196" s="4">
        <v>40933.29</v>
      </c>
      <c r="N196" s="3">
        <v>-1.792</v>
      </c>
      <c r="O196" s="9"/>
      <c r="U196" s="110"/>
    </row>
    <row r="197" spans="1:21">
      <c r="A197" s="6">
        <v>112</v>
      </c>
      <c r="B197" s="5" t="s">
        <v>305</v>
      </c>
      <c r="C197" s="5" t="s">
        <v>544</v>
      </c>
      <c r="D197" s="5" t="s">
        <v>545</v>
      </c>
      <c r="G197" s="5" t="s">
        <v>27</v>
      </c>
      <c r="H197" s="4">
        <v>679.48</v>
      </c>
      <c r="I197" s="5"/>
      <c r="J197" s="4">
        <v>0</v>
      </c>
      <c r="K197" s="5" t="s">
        <v>18</v>
      </c>
      <c r="L197" s="5"/>
      <c r="M197" s="4">
        <v>0</v>
      </c>
      <c r="N197" s="4"/>
      <c r="O197" s="140"/>
      <c r="U197" s="110"/>
    </row>
    <row r="198" spans="1:21">
      <c r="A198" s="6">
        <v>112</v>
      </c>
      <c r="B198" s="5" t="s">
        <v>305</v>
      </c>
      <c r="C198" s="10" t="s">
        <v>546</v>
      </c>
      <c r="D198" s="5" t="s">
        <v>547</v>
      </c>
      <c r="E198" s="9" t="s">
        <v>225</v>
      </c>
      <c r="F198" s="9" t="s">
        <v>198</v>
      </c>
      <c r="G198" s="5" t="s">
        <v>27</v>
      </c>
      <c r="H198" s="4">
        <v>679.48</v>
      </c>
      <c r="I198" s="5"/>
      <c r="J198" s="4">
        <v>0</v>
      </c>
      <c r="K198" s="5" t="s">
        <v>18</v>
      </c>
      <c r="L198" s="5"/>
      <c r="M198" s="4">
        <v>0</v>
      </c>
      <c r="N198" s="4"/>
      <c r="O198" s="140"/>
      <c r="U198" s="110"/>
    </row>
    <row r="199" spans="1:21">
      <c r="A199" s="6">
        <v>112</v>
      </c>
      <c r="B199" s="5" t="s">
        <v>305</v>
      </c>
      <c r="C199" s="5" t="s">
        <v>548</v>
      </c>
      <c r="D199" s="5" t="s">
        <v>59</v>
      </c>
      <c r="G199" s="5" t="s">
        <v>27</v>
      </c>
      <c r="H199" s="4">
        <v>47708.5</v>
      </c>
      <c r="I199" s="5" t="s">
        <v>27</v>
      </c>
      <c r="J199" s="4">
        <v>40199.51</v>
      </c>
      <c r="K199" s="5" t="s">
        <v>686</v>
      </c>
      <c r="L199" s="5" t="s">
        <v>27</v>
      </c>
      <c r="M199" s="4">
        <v>40933.29</v>
      </c>
      <c r="N199" s="3">
        <v>-1.792</v>
      </c>
      <c r="O199" s="9"/>
      <c r="U199" s="110"/>
    </row>
    <row r="200" spans="1:21">
      <c r="A200" s="6">
        <v>112</v>
      </c>
      <c r="B200" s="5" t="s">
        <v>305</v>
      </c>
      <c r="C200" s="10" t="s">
        <v>549</v>
      </c>
      <c r="D200" s="5" t="s">
        <v>550</v>
      </c>
      <c r="E200" s="9" t="s">
        <v>225</v>
      </c>
      <c r="F200" s="9" t="s">
        <v>200</v>
      </c>
      <c r="G200" s="5" t="s">
        <v>27</v>
      </c>
      <c r="H200" s="4">
        <v>28191.37</v>
      </c>
      <c r="I200" s="5" t="s">
        <v>27</v>
      </c>
      <c r="J200" s="4">
        <v>30825.05</v>
      </c>
      <c r="K200" s="5" t="s">
        <v>687</v>
      </c>
      <c r="L200" s="5" t="s">
        <v>27</v>
      </c>
      <c r="M200" s="4">
        <v>26757.7</v>
      </c>
      <c r="N200" s="3">
        <v>15.2</v>
      </c>
      <c r="O200" s="9"/>
      <c r="U200" s="110"/>
    </row>
    <row r="201" spans="1:21">
      <c r="A201" s="6">
        <v>112</v>
      </c>
      <c r="B201" s="5" t="s">
        <v>305</v>
      </c>
      <c r="C201" s="5" t="s">
        <v>551</v>
      </c>
      <c r="D201" s="5" t="s">
        <v>552</v>
      </c>
      <c r="G201" s="5" t="s">
        <v>27</v>
      </c>
      <c r="H201" s="4">
        <v>28191.37</v>
      </c>
      <c r="I201" s="5" t="s">
        <v>27</v>
      </c>
      <c r="J201" s="4">
        <v>30825.05</v>
      </c>
      <c r="K201" s="5" t="s">
        <v>687</v>
      </c>
      <c r="L201" s="5" t="s">
        <v>27</v>
      </c>
      <c r="M201" s="4">
        <v>26757.7</v>
      </c>
      <c r="N201" s="3">
        <v>15.2</v>
      </c>
      <c r="O201" s="9"/>
      <c r="U201" s="110"/>
    </row>
    <row r="202" spans="1:21">
      <c r="A202" s="6">
        <v>112</v>
      </c>
      <c r="B202" s="5" t="s">
        <v>305</v>
      </c>
      <c r="C202" s="10" t="s">
        <v>553</v>
      </c>
      <c r="D202" s="5" t="s">
        <v>554</v>
      </c>
      <c r="E202" s="9" t="s">
        <v>225</v>
      </c>
      <c r="F202" s="9" t="s">
        <v>200</v>
      </c>
      <c r="G202" s="5" t="s">
        <v>27</v>
      </c>
      <c r="H202" s="4">
        <v>8740.49</v>
      </c>
      <c r="I202" s="5" t="s">
        <v>27</v>
      </c>
      <c r="J202" s="4">
        <v>8941.26</v>
      </c>
      <c r="K202" s="5" t="s">
        <v>688</v>
      </c>
      <c r="L202" s="5" t="s">
        <v>27</v>
      </c>
      <c r="M202" s="4">
        <v>8323.51</v>
      </c>
      <c r="N202" s="3">
        <v>7.4210000000000003</v>
      </c>
      <c r="O202" s="9"/>
      <c r="U202" s="110"/>
    </row>
    <row r="203" spans="1:21">
      <c r="A203" s="6">
        <v>112</v>
      </c>
      <c r="B203" s="5" t="s">
        <v>305</v>
      </c>
      <c r="C203" s="10" t="s">
        <v>555</v>
      </c>
      <c r="D203" s="5" t="s">
        <v>556</v>
      </c>
      <c r="E203" s="9" t="s">
        <v>225</v>
      </c>
      <c r="F203" s="9" t="s">
        <v>200</v>
      </c>
      <c r="G203" s="5" t="s">
        <v>27</v>
      </c>
      <c r="H203" s="4">
        <v>6259.05</v>
      </c>
      <c r="I203" s="5" t="s">
        <v>27</v>
      </c>
      <c r="J203" s="4">
        <v>6682.28</v>
      </c>
      <c r="K203" s="5" t="s">
        <v>689</v>
      </c>
      <c r="L203" s="5" t="s">
        <v>27</v>
      </c>
      <c r="M203" s="4">
        <v>7019.93</v>
      </c>
      <c r="N203" s="3">
        <v>-4.8090000000000002</v>
      </c>
      <c r="O203" s="9"/>
      <c r="U203" s="110"/>
    </row>
    <row r="204" spans="1:21">
      <c r="A204" s="6">
        <v>112</v>
      </c>
      <c r="B204" s="5" t="s">
        <v>305</v>
      </c>
      <c r="C204" s="10" t="s">
        <v>557</v>
      </c>
      <c r="D204" s="5" t="s">
        <v>558</v>
      </c>
      <c r="E204" s="9" t="s">
        <v>225</v>
      </c>
      <c r="F204" s="9" t="s">
        <v>200</v>
      </c>
      <c r="G204" s="5" t="s">
        <v>27</v>
      </c>
      <c r="H204" s="4">
        <v>1553.54</v>
      </c>
      <c r="I204" s="5" t="s">
        <v>27</v>
      </c>
      <c r="J204" s="4">
        <v>1677.13</v>
      </c>
      <c r="K204" s="5" t="s">
        <v>690</v>
      </c>
      <c r="L204" s="5" t="s">
        <v>27</v>
      </c>
      <c r="M204" s="4">
        <v>1539.77</v>
      </c>
      <c r="N204" s="3">
        <v>8.92</v>
      </c>
      <c r="O204" s="9"/>
      <c r="U204" s="110"/>
    </row>
    <row r="205" spans="1:21">
      <c r="A205" s="6">
        <v>112</v>
      </c>
      <c r="B205" s="5" t="s">
        <v>305</v>
      </c>
      <c r="C205" s="10" t="s">
        <v>559</v>
      </c>
      <c r="D205" s="5" t="s">
        <v>560</v>
      </c>
      <c r="E205" s="9" t="s">
        <v>225</v>
      </c>
      <c r="F205" s="9" t="s">
        <v>200</v>
      </c>
      <c r="G205" s="5" t="s">
        <v>27</v>
      </c>
      <c r="H205" s="4">
        <v>137.44999999999999</v>
      </c>
      <c r="I205" s="5" t="s">
        <v>27</v>
      </c>
      <c r="J205" s="4">
        <v>150.43</v>
      </c>
      <c r="K205" s="5" t="s">
        <v>691</v>
      </c>
      <c r="L205" s="5" t="s">
        <v>27</v>
      </c>
      <c r="M205" s="4">
        <v>70.900000000000006</v>
      </c>
      <c r="N205" s="3">
        <v>112.172</v>
      </c>
      <c r="O205" s="9"/>
      <c r="U205" s="110"/>
    </row>
    <row r="206" spans="1:21">
      <c r="A206" s="6">
        <v>112</v>
      </c>
      <c r="B206" s="5" t="s">
        <v>305</v>
      </c>
      <c r="C206" s="144" t="s">
        <v>561</v>
      </c>
      <c r="D206" s="5" t="s">
        <v>562</v>
      </c>
      <c r="G206" s="5" t="s">
        <v>27</v>
      </c>
      <c r="H206" s="4">
        <v>16690.53</v>
      </c>
      <c r="I206" s="5" t="s">
        <v>27</v>
      </c>
      <c r="J206" s="4">
        <v>17451.099999999999</v>
      </c>
      <c r="K206" s="5" t="s">
        <v>692</v>
      </c>
      <c r="L206" s="5" t="s">
        <v>27</v>
      </c>
      <c r="M206" s="4">
        <v>16954.11</v>
      </c>
      <c r="N206" s="3">
        <v>2.931</v>
      </c>
      <c r="O206" s="9"/>
      <c r="U206" s="110"/>
    </row>
    <row r="207" spans="1:21">
      <c r="A207" s="6">
        <v>112</v>
      </c>
      <c r="B207" s="5" t="s">
        <v>305</v>
      </c>
      <c r="C207" s="10" t="s">
        <v>563</v>
      </c>
      <c r="D207" s="5" t="s">
        <v>564</v>
      </c>
      <c r="E207" s="9" t="s">
        <v>225</v>
      </c>
      <c r="F207" s="9" t="s">
        <v>200</v>
      </c>
      <c r="G207" s="5" t="s">
        <v>27</v>
      </c>
      <c r="H207" s="4">
        <v>2344.1</v>
      </c>
      <c r="I207" s="5" t="s">
        <v>27</v>
      </c>
      <c r="J207" s="4">
        <v>2549.44</v>
      </c>
      <c r="K207" s="5" t="s">
        <v>693</v>
      </c>
      <c r="L207" s="5" t="s">
        <v>27</v>
      </c>
      <c r="M207" s="4">
        <v>111.06</v>
      </c>
      <c r="N207" s="3" t="s">
        <v>653</v>
      </c>
      <c r="O207" s="9"/>
      <c r="U207" s="110"/>
    </row>
    <row r="208" spans="1:21">
      <c r="A208" s="6">
        <v>112</v>
      </c>
      <c r="B208" s="5" t="s">
        <v>305</v>
      </c>
      <c r="C208" s="5" t="s">
        <v>565</v>
      </c>
      <c r="D208" s="5" t="s">
        <v>566</v>
      </c>
      <c r="G208" s="5" t="s">
        <v>27</v>
      </c>
      <c r="H208" s="4">
        <v>2344.1</v>
      </c>
      <c r="I208" s="5" t="s">
        <v>27</v>
      </c>
      <c r="J208" s="4">
        <v>2549.44</v>
      </c>
      <c r="K208" s="5" t="s">
        <v>693</v>
      </c>
      <c r="L208" s="5" t="s">
        <v>27</v>
      </c>
      <c r="M208" s="4">
        <v>111.06</v>
      </c>
      <c r="N208" s="3" t="s">
        <v>653</v>
      </c>
      <c r="O208" s="9"/>
      <c r="U208" s="110"/>
    </row>
    <row r="209" spans="1:14">
      <c r="A209" s="6">
        <v>112</v>
      </c>
      <c r="B209" s="5" t="s">
        <v>305</v>
      </c>
      <c r="C209" s="10" t="s">
        <v>567</v>
      </c>
      <c r="D209" s="5" t="s">
        <v>568</v>
      </c>
      <c r="E209" s="9" t="s">
        <v>225</v>
      </c>
      <c r="F209" s="9" t="s">
        <v>200</v>
      </c>
      <c r="G209" s="5" t="s">
        <v>27</v>
      </c>
      <c r="H209" s="4">
        <v>142</v>
      </c>
      <c r="I209" s="5" t="s">
        <v>27</v>
      </c>
      <c r="J209" s="4">
        <v>155</v>
      </c>
      <c r="K209" s="5" t="s">
        <v>694</v>
      </c>
      <c r="L209" s="5" t="s">
        <v>27</v>
      </c>
      <c r="M209" s="4">
        <v>123.39</v>
      </c>
      <c r="N209" s="3">
        <v>25.617000000000001</v>
      </c>
    </row>
    <row r="210" spans="1:14">
      <c r="A210" s="6">
        <v>112</v>
      </c>
      <c r="B210" s="5" t="s">
        <v>305</v>
      </c>
      <c r="C210" s="5" t="s">
        <v>569</v>
      </c>
      <c r="D210" s="5" t="s">
        <v>570</v>
      </c>
      <c r="G210" s="5" t="s">
        <v>27</v>
      </c>
      <c r="H210" s="4">
        <v>142</v>
      </c>
      <c r="I210" s="5" t="s">
        <v>27</v>
      </c>
      <c r="J210" s="4">
        <v>155</v>
      </c>
      <c r="K210" s="5" t="s">
        <v>694</v>
      </c>
      <c r="L210" s="5" t="s">
        <v>27</v>
      </c>
      <c r="M210" s="4">
        <v>123.39</v>
      </c>
      <c r="N210" s="3">
        <v>25.617000000000001</v>
      </c>
    </row>
    <row r="211" spans="1:14">
      <c r="A211" s="6">
        <v>112</v>
      </c>
      <c r="B211" s="5" t="s">
        <v>305</v>
      </c>
      <c r="C211" s="5" t="s">
        <v>571</v>
      </c>
      <c r="D211" s="5" t="s">
        <v>58</v>
      </c>
      <c r="G211" s="5" t="s">
        <v>27</v>
      </c>
      <c r="H211" s="4">
        <v>47368</v>
      </c>
      <c r="I211" s="5" t="s">
        <v>27</v>
      </c>
      <c r="J211" s="4">
        <v>50980.59</v>
      </c>
      <c r="K211" s="5" t="s">
        <v>695</v>
      </c>
      <c r="L211" s="5" t="s">
        <v>27</v>
      </c>
      <c r="M211" s="4">
        <v>43946.26</v>
      </c>
      <c r="N211" s="3">
        <v>16.006</v>
      </c>
    </row>
    <row r="212" spans="1:14">
      <c r="A212" s="6">
        <v>112</v>
      </c>
      <c r="B212" s="5" t="s">
        <v>305</v>
      </c>
      <c r="C212" s="10" t="s">
        <v>572</v>
      </c>
      <c r="D212" s="5" t="s">
        <v>573</v>
      </c>
      <c r="E212" s="9" t="s">
        <v>225</v>
      </c>
      <c r="F212" s="9" t="s">
        <v>201</v>
      </c>
      <c r="G212" s="5" t="s">
        <v>27</v>
      </c>
      <c r="H212" s="4">
        <v>2434.86</v>
      </c>
      <c r="I212" s="5" t="s">
        <v>27</v>
      </c>
      <c r="J212" s="4">
        <v>2434.86</v>
      </c>
      <c r="K212" s="5"/>
      <c r="L212" s="5" t="s">
        <v>27</v>
      </c>
      <c r="M212" s="4">
        <v>2434.86</v>
      </c>
      <c r="N212" s="4"/>
    </row>
    <row r="213" spans="1:14">
      <c r="A213" s="6">
        <v>112</v>
      </c>
      <c r="B213" s="5" t="s">
        <v>305</v>
      </c>
      <c r="C213" s="10" t="s">
        <v>574</v>
      </c>
      <c r="D213" s="5" t="s">
        <v>575</v>
      </c>
      <c r="E213" s="9" t="s">
        <v>225</v>
      </c>
      <c r="F213" s="9" t="s">
        <v>201</v>
      </c>
      <c r="G213" s="5" t="s">
        <v>27</v>
      </c>
      <c r="H213" s="4">
        <v>51.25</v>
      </c>
      <c r="I213" s="5" t="s">
        <v>27</v>
      </c>
      <c r="J213" s="4">
        <v>829.96</v>
      </c>
      <c r="K213" s="5" t="s">
        <v>696</v>
      </c>
      <c r="L213" s="5" t="s">
        <v>27</v>
      </c>
      <c r="M213" s="4">
        <v>1659.93</v>
      </c>
      <c r="N213" s="3">
        <v>-50</v>
      </c>
    </row>
    <row r="214" spans="1:14">
      <c r="A214" s="6">
        <v>112</v>
      </c>
      <c r="B214" s="5" t="s">
        <v>305</v>
      </c>
      <c r="C214" s="5" t="s">
        <v>576</v>
      </c>
      <c r="D214" s="5" t="s">
        <v>577</v>
      </c>
      <c r="G214" s="5" t="s">
        <v>27</v>
      </c>
      <c r="H214" s="4">
        <v>2486.11</v>
      </c>
      <c r="I214" s="5" t="s">
        <v>27</v>
      </c>
      <c r="J214" s="4">
        <v>3264.82</v>
      </c>
      <c r="K214" s="5" t="s">
        <v>697</v>
      </c>
      <c r="L214" s="5" t="s">
        <v>27</v>
      </c>
      <c r="M214" s="4">
        <v>4094.79</v>
      </c>
      <c r="N214" s="3">
        <v>-20.268000000000001</v>
      </c>
    </row>
    <row r="215" spans="1:14">
      <c r="A215" s="6">
        <v>112</v>
      </c>
      <c r="B215" s="5" t="s">
        <v>305</v>
      </c>
      <c r="C215" s="10" t="s">
        <v>578</v>
      </c>
      <c r="D215" s="5" t="s">
        <v>579</v>
      </c>
      <c r="E215" s="9" t="s">
        <v>225</v>
      </c>
      <c r="F215" s="9" t="s">
        <v>201</v>
      </c>
      <c r="G215" s="5" t="s">
        <v>27</v>
      </c>
      <c r="H215" s="4">
        <v>12909.84</v>
      </c>
      <c r="I215" s="5" t="s">
        <v>27</v>
      </c>
      <c r="J215" s="4">
        <v>26241.38</v>
      </c>
      <c r="K215" s="5" t="s">
        <v>698</v>
      </c>
      <c r="L215" s="5" t="s">
        <v>27</v>
      </c>
      <c r="M215" s="4">
        <v>28726.31</v>
      </c>
      <c r="N215" s="3">
        <v>-8.65</v>
      </c>
    </row>
    <row r="216" spans="1:14">
      <c r="A216" s="6">
        <v>112</v>
      </c>
      <c r="B216" s="5" t="s">
        <v>305</v>
      </c>
      <c r="C216" s="5" t="s">
        <v>580</v>
      </c>
      <c r="D216" s="5" t="s">
        <v>581</v>
      </c>
      <c r="G216" s="5" t="s">
        <v>27</v>
      </c>
      <c r="H216" s="4">
        <v>12909.84</v>
      </c>
      <c r="I216" s="5" t="s">
        <v>27</v>
      </c>
      <c r="J216" s="4">
        <v>26241.38</v>
      </c>
      <c r="K216" s="5" t="s">
        <v>698</v>
      </c>
      <c r="L216" s="5" t="s">
        <v>27</v>
      </c>
      <c r="M216" s="4">
        <v>28726.31</v>
      </c>
      <c r="N216" s="3">
        <v>-8.65</v>
      </c>
    </row>
    <row r="217" spans="1:14">
      <c r="A217" s="6">
        <v>112</v>
      </c>
      <c r="B217" s="5" t="s">
        <v>305</v>
      </c>
      <c r="C217" s="5" t="s">
        <v>57</v>
      </c>
      <c r="D217" s="5" t="s">
        <v>56</v>
      </c>
      <c r="G217" s="5" t="s">
        <v>27</v>
      </c>
      <c r="H217" s="4">
        <v>15395.95</v>
      </c>
      <c r="I217" s="5" t="s">
        <v>27</v>
      </c>
      <c r="J217" s="4">
        <v>29506.2</v>
      </c>
      <c r="K217" s="5" t="s">
        <v>699</v>
      </c>
      <c r="L217" s="5" t="s">
        <v>27</v>
      </c>
      <c r="M217" s="4">
        <v>32821.1</v>
      </c>
      <c r="N217" s="3">
        <v>-10.099</v>
      </c>
    </row>
    <row r="218" spans="1:14">
      <c r="A218" s="6">
        <v>112</v>
      </c>
      <c r="B218" s="5" t="s">
        <v>305</v>
      </c>
      <c r="C218" s="141" t="s">
        <v>582</v>
      </c>
      <c r="D218" s="5" t="s">
        <v>583</v>
      </c>
      <c r="E218" s="9" t="s">
        <v>222</v>
      </c>
      <c r="F218" s="9" t="s">
        <v>231</v>
      </c>
      <c r="G218" s="5" t="s">
        <v>27</v>
      </c>
      <c r="H218" s="4">
        <v>693.49</v>
      </c>
      <c r="I218" s="5" t="s">
        <v>27</v>
      </c>
      <c r="J218" s="4">
        <v>645.80999999999995</v>
      </c>
      <c r="K218" s="5" t="s">
        <v>700</v>
      </c>
      <c r="L218" s="5" t="s">
        <v>27</v>
      </c>
      <c r="M218" s="4">
        <v>7204.22</v>
      </c>
      <c r="N218" s="3">
        <v>-91.034999999999997</v>
      </c>
    </row>
    <row r="219" spans="1:14">
      <c r="A219" s="6">
        <v>112</v>
      </c>
      <c r="B219" s="5" t="s">
        <v>305</v>
      </c>
      <c r="C219" s="5" t="s">
        <v>584</v>
      </c>
      <c r="D219" s="5" t="s">
        <v>585</v>
      </c>
      <c r="G219" s="5" t="s">
        <v>27</v>
      </c>
      <c r="H219" s="4">
        <v>693.49</v>
      </c>
      <c r="I219" s="5" t="s">
        <v>27</v>
      </c>
      <c r="J219" s="4">
        <v>645.80999999999995</v>
      </c>
      <c r="K219" s="5" t="s">
        <v>700</v>
      </c>
      <c r="L219" s="5" t="s">
        <v>27</v>
      </c>
      <c r="M219" s="4">
        <v>7204.22</v>
      </c>
      <c r="N219" s="3">
        <v>-91.034999999999997</v>
      </c>
    </row>
    <row r="220" spans="1:14">
      <c r="A220" s="6">
        <v>112</v>
      </c>
      <c r="B220" s="5" t="s">
        <v>305</v>
      </c>
      <c r="C220" s="5" t="s">
        <v>287</v>
      </c>
      <c r="D220" s="5" t="s">
        <v>288</v>
      </c>
      <c r="G220" s="5" t="s">
        <v>27</v>
      </c>
      <c r="H220" s="4">
        <v>693.49</v>
      </c>
      <c r="I220" s="5" t="s">
        <v>27</v>
      </c>
      <c r="J220" s="4">
        <v>645.80999999999995</v>
      </c>
      <c r="K220" s="5" t="s">
        <v>700</v>
      </c>
      <c r="L220" s="5" t="s">
        <v>27</v>
      </c>
      <c r="M220" s="4">
        <v>7204.22</v>
      </c>
      <c r="N220" s="3">
        <v>-91.034999999999997</v>
      </c>
    </row>
    <row r="221" spans="1:14">
      <c r="A221" s="6">
        <v>112</v>
      </c>
      <c r="B221" s="5" t="s">
        <v>305</v>
      </c>
      <c r="C221" s="10" t="s">
        <v>55</v>
      </c>
      <c r="D221" s="5" t="s">
        <v>54</v>
      </c>
      <c r="E221" s="9" t="s">
        <v>225</v>
      </c>
      <c r="F221" s="9" t="s">
        <v>202</v>
      </c>
      <c r="G221" s="5" t="s">
        <v>27</v>
      </c>
      <c r="H221" s="4">
        <v>136</v>
      </c>
      <c r="I221" s="5" t="s">
        <v>27</v>
      </c>
      <c r="J221" s="4">
        <v>194.9</v>
      </c>
      <c r="K221" s="5" t="s">
        <v>701</v>
      </c>
      <c r="L221" s="5" t="s">
        <v>27</v>
      </c>
      <c r="M221" s="4">
        <v>122</v>
      </c>
      <c r="N221" s="3">
        <v>59.753999999999998</v>
      </c>
    </row>
    <row r="222" spans="1:14">
      <c r="A222" s="6">
        <v>112</v>
      </c>
      <c r="B222" s="5" t="s">
        <v>305</v>
      </c>
      <c r="C222" s="10" t="s">
        <v>586</v>
      </c>
      <c r="D222" s="5" t="s">
        <v>587</v>
      </c>
      <c r="E222" s="9" t="s">
        <v>225</v>
      </c>
      <c r="F222" s="9" t="s">
        <v>202</v>
      </c>
      <c r="G222" s="5" t="s">
        <v>27</v>
      </c>
      <c r="H222" s="4">
        <v>309.87</v>
      </c>
      <c r="I222" s="5" t="s">
        <v>27</v>
      </c>
      <c r="J222" s="4">
        <v>309.87</v>
      </c>
      <c r="K222" s="5"/>
      <c r="L222" s="5" t="s">
        <v>27</v>
      </c>
      <c r="M222" s="4">
        <v>309.87</v>
      </c>
      <c r="N222" s="4"/>
    </row>
    <row r="223" spans="1:14">
      <c r="A223" s="6">
        <v>112</v>
      </c>
      <c r="B223" s="5" t="s">
        <v>305</v>
      </c>
      <c r="C223" s="10" t="s">
        <v>588</v>
      </c>
      <c r="D223" s="5" t="s">
        <v>589</v>
      </c>
      <c r="E223" s="9" t="s">
        <v>225</v>
      </c>
      <c r="F223" s="9" t="s">
        <v>202</v>
      </c>
      <c r="G223" s="5" t="s">
        <v>27</v>
      </c>
      <c r="H223" s="4">
        <v>675.31</v>
      </c>
      <c r="I223" s="5" t="s">
        <v>27</v>
      </c>
      <c r="J223" s="4">
        <v>130.81</v>
      </c>
      <c r="K223" s="5" t="s">
        <v>702</v>
      </c>
      <c r="L223" s="5" t="s">
        <v>27</v>
      </c>
      <c r="M223" s="4">
        <v>486.59</v>
      </c>
      <c r="N223" s="3">
        <v>-73.116</v>
      </c>
    </row>
    <row r="224" spans="1:14">
      <c r="A224" s="6">
        <v>112</v>
      </c>
      <c r="B224" s="5" t="s">
        <v>305</v>
      </c>
      <c r="C224" s="10" t="s">
        <v>53</v>
      </c>
      <c r="D224" s="5" t="s">
        <v>52</v>
      </c>
      <c r="E224" s="9" t="s">
        <v>225</v>
      </c>
      <c r="F224" s="9" t="s">
        <v>202</v>
      </c>
      <c r="G224" s="5" t="s">
        <v>27</v>
      </c>
      <c r="H224" s="4">
        <v>228</v>
      </c>
      <c r="I224" s="5" t="s">
        <v>27</v>
      </c>
      <c r="J224" s="4">
        <v>203</v>
      </c>
      <c r="K224" s="5" t="s">
        <v>703</v>
      </c>
      <c r="L224" s="5" t="s">
        <v>27</v>
      </c>
      <c r="M224" s="4">
        <v>229</v>
      </c>
      <c r="N224" s="3">
        <v>-11.353</v>
      </c>
    </row>
    <row r="225" spans="1:14">
      <c r="A225" s="6">
        <v>112</v>
      </c>
      <c r="B225" s="5" t="s">
        <v>305</v>
      </c>
      <c r="C225" s="10" t="s">
        <v>590</v>
      </c>
      <c r="D225" s="5" t="s">
        <v>591</v>
      </c>
      <c r="E225" s="9" t="s">
        <v>225</v>
      </c>
      <c r="F225" s="9" t="s">
        <v>202</v>
      </c>
      <c r="G225" s="5" t="s">
        <v>27</v>
      </c>
      <c r="H225" s="4">
        <v>0</v>
      </c>
      <c r="I225" s="5" t="s">
        <v>27</v>
      </c>
      <c r="J225" s="4">
        <v>133.1</v>
      </c>
      <c r="K225" s="5" t="s">
        <v>19</v>
      </c>
      <c r="L225" s="5" t="s">
        <v>27</v>
      </c>
      <c r="M225" s="4">
        <v>133.1</v>
      </c>
      <c r="N225" s="4"/>
    </row>
    <row r="226" spans="1:14">
      <c r="A226" s="6">
        <v>112</v>
      </c>
      <c r="B226" s="5" t="s">
        <v>305</v>
      </c>
      <c r="C226" s="5" t="s">
        <v>51</v>
      </c>
      <c r="D226" s="5" t="s">
        <v>50</v>
      </c>
      <c r="G226" s="5" t="s">
        <v>27</v>
      </c>
      <c r="H226" s="4">
        <v>1349.18</v>
      </c>
      <c r="I226" s="5" t="s">
        <v>27</v>
      </c>
      <c r="J226" s="4">
        <v>971.68</v>
      </c>
      <c r="K226" s="5" t="s">
        <v>704</v>
      </c>
      <c r="L226" s="5" t="s">
        <v>27</v>
      </c>
      <c r="M226" s="4">
        <v>1280.56</v>
      </c>
      <c r="N226" s="3">
        <v>-24.12</v>
      </c>
    </row>
    <row r="227" spans="1:14">
      <c r="A227" s="6">
        <v>112</v>
      </c>
      <c r="B227" s="5" t="s">
        <v>305</v>
      </c>
      <c r="C227" s="10" t="s">
        <v>49</v>
      </c>
      <c r="D227" s="5" t="s">
        <v>48</v>
      </c>
      <c r="E227" s="9" t="s">
        <v>225</v>
      </c>
      <c r="F227" s="9" t="s">
        <v>202</v>
      </c>
      <c r="G227" s="5" t="s">
        <v>27</v>
      </c>
      <c r="H227" s="4">
        <v>181.19</v>
      </c>
      <c r="I227" s="5" t="s">
        <v>27</v>
      </c>
      <c r="J227" s="4">
        <v>722.97</v>
      </c>
      <c r="K227" s="5" t="s">
        <v>705</v>
      </c>
      <c r="L227" s="5"/>
      <c r="M227" s="4">
        <v>0</v>
      </c>
      <c r="N227" s="3">
        <v>100</v>
      </c>
    </row>
    <row r="228" spans="1:14">
      <c r="A228" s="6">
        <v>112</v>
      </c>
      <c r="B228" s="5" t="s">
        <v>305</v>
      </c>
      <c r="C228" s="10" t="s">
        <v>47</v>
      </c>
      <c r="D228" s="5" t="s">
        <v>46</v>
      </c>
      <c r="E228" s="9" t="s">
        <v>225</v>
      </c>
      <c r="F228" s="9" t="s">
        <v>202</v>
      </c>
      <c r="G228" s="5" t="s">
        <v>27</v>
      </c>
      <c r="H228" s="4">
        <v>25784.34</v>
      </c>
      <c r="I228" s="5" t="s">
        <v>27</v>
      </c>
      <c r="J228" s="4">
        <v>16672.28</v>
      </c>
      <c r="K228" s="5" t="s">
        <v>706</v>
      </c>
      <c r="L228" s="5"/>
      <c r="M228" s="4">
        <v>0</v>
      </c>
      <c r="N228" s="3">
        <v>100</v>
      </c>
    </row>
    <row r="229" spans="1:14">
      <c r="A229" s="6">
        <v>112</v>
      </c>
      <c r="B229" s="5" t="s">
        <v>305</v>
      </c>
      <c r="C229" s="10" t="s">
        <v>592</v>
      </c>
      <c r="D229" s="5" t="s">
        <v>593</v>
      </c>
      <c r="E229" s="9" t="s">
        <v>225</v>
      </c>
      <c r="F229" s="9" t="s">
        <v>202</v>
      </c>
      <c r="G229" s="5" t="s">
        <v>27</v>
      </c>
      <c r="H229" s="4">
        <v>0</v>
      </c>
      <c r="I229" s="5" t="s">
        <v>27</v>
      </c>
      <c r="J229" s="4">
        <v>580.01</v>
      </c>
      <c r="K229" s="5" t="s">
        <v>19</v>
      </c>
      <c r="L229" s="5"/>
      <c r="M229" s="4">
        <v>0</v>
      </c>
      <c r="N229" s="3">
        <v>100</v>
      </c>
    </row>
    <row r="230" spans="1:14">
      <c r="A230" s="6">
        <v>112</v>
      </c>
      <c r="B230" s="5" t="s">
        <v>305</v>
      </c>
      <c r="C230" s="10" t="s">
        <v>594</v>
      </c>
      <c r="D230" s="5" t="s">
        <v>595</v>
      </c>
      <c r="E230" s="9" t="s">
        <v>225</v>
      </c>
      <c r="F230" s="9" t="s">
        <v>202</v>
      </c>
      <c r="G230" s="5" t="s">
        <v>27</v>
      </c>
      <c r="H230" s="4">
        <v>107.16</v>
      </c>
      <c r="I230" s="5"/>
      <c r="J230" s="4">
        <v>0</v>
      </c>
      <c r="K230" s="5" t="s">
        <v>18</v>
      </c>
      <c r="L230" s="5"/>
      <c r="M230" s="4">
        <v>0</v>
      </c>
      <c r="N230" s="4"/>
    </row>
    <row r="231" spans="1:14">
      <c r="A231" s="6">
        <v>112</v>
      </c>
      <c r="B231" s="5" t="s">
        <v>305</v>
      </c>
      <c r="C231" s="10" t="s">
        <v>596</v>
      </c>
      <c r="D231" s="5" t="s">
        <v>597</v>
      </c>
      <c r="E231" s="9" t="s">
        <v>225</v>
      </c>
      <c r="F231" s="9" t="s">
        <v>202</v>
      </c>
      <c r="G231" s="5" t="s">
        <v>27</v>
      </c>
      <c r="H231" s="4">
        <v>2.33</v>
      </c>
      <c r="I231" s="5"/>
      <c r="J231" s="4">
        <v>0</v>
      </c>
      <c r="K231" s="5" t="s">
        <v>18</v>
      </c>
      <c r="L231" s="5" t="s">
        <v>27</v>
      </c>
      <c r="M231" s="4">
        <v>346.24</v>
      </c>
      <c r="N231" s="3">
        <v>-100</v>
      </c>
    </row>
    <row r="232" spans="1:14">
      <c r="A232" s="6">
        <v>112</v>
      </c>
      <c r="B232" s="5" t="s">
        <v>305</v>
      </c>
      <c r="C232" s="10" t="s">
        <v>45</v>
      </c>
      <c r="D232" s="5" t="s">
        <v>44</v>
      </c>
      <c r="E232" s="9" t="s">
        <v>225</v>
      </c>
      <c r="F232" s="9" t="s">
        <v>197</v>
      </c>
      <c r="G232" s="5" t="s">
        <v>27</v>
      </c>
      <c r="H232" s="4">
        <v>72.239999999999995</v>
      </c>
      <c r="I232" s="5" t="s">
        <v>27</v>
      </c>
      <c r="J232" s="4">
        <v>2</v>
      </c>
      <c r="K232" s="5" t="s">
        <v>37</v>
      </c>
      <c r="L232" s="5" t="s">
        <v>27</v>
      </c>
      <c r="M232" s="4">
        <v>110.7</v>
      </c>
      <c r="N232" s="3">
        <v>-98.192999999999998</v>
      </c>
    </row>
    <row r="233" spans="1:14">
      <c r="A233" s="6">
        <v>112</v>
      </c>
      <c r="B233" s="5" t="s">
        <v>305</v>
      </c>
      <c r="C233" s="10" t="s">
        <v>43</v>
      </c>
      <c r="D233" s="5" t="s">
        <v>42</v>
      </c>
      <c r="E233" s="9" t="s">
        <v>225</v>
      </c>
      <c r="F233" s="9" t="s">
        <v>202</v>
      </c>
      <c r="G233" s="5" t="s">
        <v>27</v>
      </c>
      <c r="H233" s="4">
        <v>4.8</v>
      </c>
      <c r="I233" s="5" t="s">
        <v>27</v>
      </c>
      <c r="J233" s="4">
        <v>29.19</v>
      </c>
      <c r="K233" s="5" t="s">
        <v>707</v>
      </c>
      <c r="L233" s="5" t="s">
        <v>27</v>
      </c>
      <c r="M233" s="4">
        <v>6.95</v>
      </c>
      <c r="N233" s="3">
        <v>320</v>
      </c>
    </row>
    <row r="234" spans="1:14">
      <c r="A234" s="6">
        <v>112</v>
      </c>
      <c r="B234" s="5" t="s">
        <v>305</v>
      </c>
      <c r="C234" s="10" t="s">
        <v>598</v>
      </c>
      <c r="D234" s="5" t="s">
        <v>599</v>
      </c>
      <c r="E234" s="9" t="s">
        <v>225</v>
      </c>
      <c r="F234" s="9" t="s">
        <v>202</v>
      </c>
      <c r="G234" s="5" t="s">
        <v>27</v>
      </c>
      <c r="H234" s="4">
        <v>0</v>
      </c>
      <c r="I234" s="5"/>
      <c r="J234" s="4">
        <v>0</v>
      </c>
      <c r="K234" s="5"/>
      <c r="L234" s="5" t="s">
        <v>27</v>
      </c>
      <c r="M234" s="4">
        <v>24</v>
      </c>
      <c r="N234" s="3">
        <v>-100</v>
      </c>
    </row>
    <row r="235" spans="1:14">
      <c r="A235" s="6">
        <v>112</v>
      </c>
      <c r="B235" s="5" t="s">
        <v>305</v>
      </c>
      <c r="C235" s="5" t="s">
        <v>41</v>
      </c>
      <c r="D235" s="5" t="s">
        <v>40</v>
      </c>
      <c r="G235" s="5" t="s">
        <v>27</v>
      </c>
      <c r="H235" s="4">
        <v>26152.06</v>
      </c>
      <c r="I235" s="5" t="s">
        <v>27</v>
      </c>
      <c r="J235" s="4">
        <v>18006.45</v>
      </c>
      <c r="K235" s="5" t="s">
        <v>708</v>
      </c>
      <c r="L235" s="5" t="s">
        <v>27</v>
      </c>
      <c r="M235" s="4">
        <v>487.89</v>
      </c>
      <c r="N235" s="3" t="s">
        <v>653</v>
      </c>
    </row>
    <row r="236" spans="1:14">
      <c r="A236" s="6">
        <v>112</v>
      </c>
      <c r="B236" s="5" t="s">
        <v>305</v>
      </c>
      <c r="C236" s="5" t="s">
        <v>39</v>
      </c>
      <c r="D236" s="5" t="s">
        <v>38</v>
      </c>
      <c r="G236" s="5" t="s">
        <v>27</v>
      </c>
      <c r="H236" s="4">
        <v>27501.24</v>
      </c>
      <c r="I236" s="5" t="s">
        <v>27</v>
      </c>
      <c r="J236" s="4">
        <v>18978.13</v>
      </c>
      <c r="K236" s="5" t="s">
        <v>709</v>
      </c>
      <c r="L236" s="5" t="s">
        <v>27</v>
      </c>
      <c r="M236" s="4">
        <v>1768.45</v>
      </c>
      <c r="N236" s="3">
        <v>973.15</v>
      </c>
    </row>
    <row r="237" spans="1:14">
      <c r="A237" s="6">
        <v>112</v>
      </c>
      <c r="B237" s="5" t="s">
        <v>305</v>
      </c>
      <c r="C237" s="10" t="s">
        <v>289</v>
      </c>
      <c r="D237" s="5" t="s">
        <v>290</v>
      </c>
      <c r="E237" s="9" t="s">
        <v>225</v>
      </c>
      <c r="F237" s="9" t="s">
        <v>205</v>
      </c>
      <c r="G237" s="5" t="s">
        <v>27</v>
      </c>
      <c r="H237" s="4">
        <v>1369.62</v>
      </c>
      <c r="I237" s="5" t="s">
        <v>27</v>
      </c>
      <c r="J237" s="4">
        <v>1212.5899999999999</v>
      </c>
      <c r="K237" s="5" t="s">
        <v>710</v>
      </c>
      <c r="L237" s="5" t="s">
        <v>27</v>
      </c>
      <c r="M237" s="4">
        <v>124.5</v>
      </c>
      <c r="N237" s="3">
        <v>873.96699999999998</v>
      </c>
    </row>
    <row r="238" spans="1:14">
      <c r="A238" s="6">
        <v>112</v>
      </c>
      <c r="B238" s="5" t="s">
        <v>305</v>
      </c>
      <c r="C238" s="10" t="s">
        <v>600</v>
      </c>
      <c r="D238" s="5" t="s">
        <v>601</v>
      </c>
      <c r="E238" s="9" t="s">
        <v>225</v>
      </c>
      <c r="F238" s="9" t="s">
        <v>205</v>
      </c>
      <c r="G238" s="5" t="s">
        <v>27</v>
      </c>
      <c r="H238" s="4">
        <v>5765.76</v>
      </c>
      <c r="I238" s="5" t="s">
        <v>27</v>
      </c>
      <c r="J238" s="4">
        <v>6526.37</v>
      </c>
      <c r="K238" s="5" t="s">
        <v>711</v>
      </c>
      <c r="L238" s="5" t="s">
        <v>27</v>
      </c>
      <c r="M238" s="4">
        <v>3723.74</v>
      </c>
      <c r="N238" s="3">
        <v>75.263000000000005</v>
      </c>
    </row>
    <row r="239" spans="1:14">
      <c r="A239" s="6">
        <v>112</v>
      </c>
      <c r="B239" s="5" t="s">
        <v>305</v>
      </c>
      <c r="C239" s="10" t="s">
        <v>602</v>
      </c>
      <c r="D239" s="5" t="s">
        <v>603</v>
      </c>
      <c r="E239" s="9" t="s">
        <v>225</v>
      </c>
      <c r="F239" s="9" t="s">
        <v>205</v>
      </c>
      <c r="G239" s="5" t="s">
        <v>27</v>
      </c>
      <c r="H239" s="4">
        <v>0</v>
      </c>
      <c r="I239" s="5" t="s">
        <v>27</v>
      </c>
      <c r="J239" s="4">
        <v>1074.53</v>
      </c>
      <c r="K239" s="5" t="s">
        <v>19</v>
      </c>
      <c r="L239" s="5" t="s">
        <v>27</v>
      </c>
      <c r="M239" s="4">
        <v>857.2</v>
      </c>
      <c r="N239" s="3">
        <v>25.353000000000002</v>
      </c>
    </row>
    <row r="240" spans="1:14">
      <c r="A240" s="6">
        <v>112</v>
      </c>
      <c r="B240" s="5" t="s">
        <v>305</v>
      </c>
      <c r="C240" s="10" t="s">
        <v>604</v>
      </c>
      <c r="D240" s="5" t="s">
        <v>605</v>
      </c>
      <c r="E240" s="9" t="s">
        <v>225</v>
      </c>
      <c r="F240" s="9" t="s">
        <v>205</v>
      </c>
      <c r="G240" s="5" t="s">
        <v>27</v>
      </c>
      <c r="H240" s="4">
        <v>0</v>
      </c>
      <c r="I240" s="5"/>
      <c r="J240" s="4">
        <v>0</v>
      </c>
      <c r="K240" s="5"/>
      <c r="L240" s="5" t="s">
        <v>27</v>
      </c>
      <c r="M240" s="4">
        <v>26.24</v>
      </c>
      <c r="N240" s="3">
        <v>-100</v>
      </c>
    </row>
    <row r="241" spans="1:14">
      <c r="A241" s="6">
        <v>112</v>
      </c>
      <c r="B241" s="5" t="s">
        <v>305</v>
      </c>
      <c r="C241" s="10" t="s">
        <v>291</v>
      </c>
      <c r="D241" s="5" t="s">
        <v>292</v>
      </c>
      <c r="E241" s="9" t="s">
        <v>225</v>
      </c>
      <c r="F241" s="9" t="s">
        <v>205</v>
      </c>
      <c r="G241" s="5" t="s">
        <v>27</v>
      </c>
      <c r="H241" s="4">
        <v>143.29</v>
      </c>
      <c r="I241" s="5" t="s">
        <v>27</v>
      </c>
      <c r="J241" s="4">
        <v>12.74</v>
      </c>
      <c r="K241" s="5" t="s">
        <v>37</v>
      </c>
      <c r="L241" s="5"/>
      <c r="M241" s="4">
        <v>0</v>
      </c>
      <c r="N241" s="3">
        <v>100</v>
      </c>
    </row>
    <row r="242" spans="1:14">
      <c r="A242" s="6">
        <v>112</v>
      </c>
      <c r="B242" s="5" t="s">
        <v>305</v>
      </c>
      <c r="C242" s="10" t="s">
        <v>293</v>
      </c>
      <c r="D242" s="5" t="s">
        <v>294</v>
      </c>
      <c r="E242" s="9" t="s">
        <v>225</v>
      </c>
      <c r="F242" s="9" t="s">
        <v>205</v>
      </c>
      <c r="G242" s="5" t="s">
        <v>27</v>
      </c>
      <c r="H242" s="4">
        <v>43.57</v>
      </c>
      <c r="I242" s="5"/>
      <c r="J242" s="4">
        <v>0</v>
      </c>
      <c r="K242" s="5" t="s">
        <v>18</v>
      </c>
      <c r="L242" s="5"/>
      <c r="M242" s="4">
        <v>0</v>
      </c>
      <c r="N242" s="4"/>
    </row>
    <row r="243" spans="1:14">
      <c r="A243" s="6">
        <v>112</v>
      </c>
      <c r="B243" s="5" t="s">
        <v>305</v>
      </c>
      <c r="C243" s="5" t="s">
        <v>36</v>
      </c>
      <c r="D243" s="5" t="s">
        <v>35</v>
      </c>
      <c r="G243" s="5" t="s">
        <v>27</v>
      </c>
      <c r="H243" s="4">
        <v>7322.24</v>
      </c>
      <c r="I243" s="5" t="s">
        <v>27</v>
      </c>
      <c r="J243" s="4">
        <v>8826.23</v>
      </c>
      <c r="K243" s="5" t="s">
        <v>712</v>
      </c>
      <c r="L243" s="5" t="s">
        <v>27</v>
      </c>
      <c r="M243" s="4">
        <v>4731.68</v>
      </c>
      <c r="N243" s="3">
        <v>86.534000000000006</v>
      </c>
    </row>
    <row r="244" spans="1:14">
      <c r="A244" s="6">
        <v>112</v>
      </c>
      <c r="B244" s="5" t="s">
        <v>305</v>
      </c>
      <c r="C244" s="5" t="s">
        <v>34</v>
      </c>
      <c r="D244" s="5" t="s">
        <v>33</v>
      </c>
      <c r="G244" s="5" t="s">
        <v>27</v>
      </c>
      <c r="H244" s="4">
        <v>7322.24</v>
      </c>
      <c r="I244" s="5" t="s">
        <v>27</v>
      </c>
      <c r="J244" s="4">
        <v>8826.23</v>
      </c>
      <c r="K244" s="5" t="s">
        <v>712</v>
      </c>
      <c r="L244" s="5" t="s">
        <v>27</v>
      </c>
      <c r="M244" s="4">
        <v>4731.68</v>
      </c>
      <c r="N244" s="3">
        <v>86.534000000000006</v>
      </c>
    </row>
    <row r="245" spans="1:14">
      <c r="A245" s="6">
        <v>112</v>
      </c>
      <c r="B245" s="5" t="s">
        <v>305</v>
      </c>
      <c r="C245" s="10" t="s">
        <v>606</v>
      </c>
      <c r="D245" s="5" t="s">
        <v>607</v>
      </c>
      <c r="E245" s="9" t="s">
        <v>225</v>
      </c>
      <c r="F245" s="9" t="s">
        <v>202</v>
      </c>
      <c r="G245" s="5" t="s">
        <v>27</v>
      </c>
      <c r="H245" s="4">
        <v>0</v>
      </c>
      <c r="I245" s="5"/>
      <c r="J245" s="4">
        <v>0</v>
      </c>
      <c r="K245" s="5"/>
      <c r="L245" s="5" t="s">
        <v>27</v>
      </c>
      <c r="M245" s="4">
        <v>25948</v>
      </c>
      <c r="N245" s="3">
        <v>-100</v>
      </c>
    </row>
    <row r="246" spans="1:14">
      <c r="A246" s="6">
        <v>112</v>
      </c>
      <c r="B246" s="5" t="s">
        <v>305</v>
      </c>
      <c r="C246" s="5" t="s">
        <v>608</v>
      </c>
      <c r="D246" s="5" t="s">
        <v>609</v>
      </c>
      <c r="G246" s="5" t="s">
        <v>27</v>
      </c>
      <c r="H246" s="4">
        <v>0</v>
      </c>
      <c r="I246" s="5"/>
      <c r="J246" s="4">
        <v>0</v>
      </c>
      <c r="K246" s="5"/>
      <c r="L246" s="5" t="s">
        <v>27</v>
      </c>
      <c r="M246" s="4">
        <v>25948</v>
      </c>
      <c r="N246" s="3">
        <v>-100</v>
      </c>
    </row>
    <row r="247" spans="1:14">
      <c r="A247" s="6">
        <v>112</v>
      </c>
      <c r="B247" s="5" t="s">
        <v>305</v>
      </c>
      <c r="C247" s="5" t="s">
        <v>295</v>
      </c>
      <c r="D247" s="5" t="s">
        <v>32</v>
      </c>
      <c r="G247" s="5" t="s">
        <v>27</v>
      </c>
      <c r="H247" s="4">
        <v>0</v>
      </c>
      <c r="I247" s="5"/>
      <c r="J247" s="4">
        <v>0</v>
      </c>
      <c r="K247" s="5"/>
      <c r="L247" s="5" t="s">
        <v>27</v>
      </c>
      <c r="M247" s="4">
        <v>25948</v>
      </c>
      <c r="N247" s="3">
        <v>-100</v>
      </c>
    </row>
    <row r="248" spans="1:14">
      <c r="A248" s="6">
        <v>112</v>
      </c>
      <c r="B248" s="5" t="s">
        <v>305</v>
      </c>
      <c r="C248" s="10" t="s">
        <v>610</v>
      </c>
      <c r="D248" s="5" t="s">
        <v>611</v>
      </c>
      <c r="E248" s="9" t="s">
        <v>223</v>
      </c>
      <c r="F248" s="9" t="s">
        <v>204</v>
      </c>
      <c r="G248" s="5" t="s">
        <v>27</v>
      </c>
      <c r="H248" s="4">
        <v>8727.8700000000008</v>
      </c>
      <c r="I248" s="5" t="s">
        <v>27</v>
      </c>
      <c r="J248" s="4">
        <v>10041.030000000001</v>
      </c>
      <c r="K248" s="5" t="s">
        <v>26</v>
      </c>
      <c r="L248" s="5"/>
      <c r="M248" s="4">
        <v>0</v>
      </c>
      <c r="N248" s="3">
        <v>100</v>
      </c>
    </row>
    <row r="249" spans="1:14">
      <c r="A249" s="6">
        <v>112</v>
      </c>
      <c r="B249" s="5" t="s">
        <v>305</v>
      </c>
      <c r="C249" s="5" t="s">
        <v>31</v>
      </c>
      <c r="D249" s="5" t="s">
        <v>30</v>
      </c>
      <c r="G249" s="5" t="s">
        <v>27</v>
      </c>
      <c r="H249" s="4">
        <v>8727.8700000000008</v>
      </c>
      <c r="I249" s="5" t="s">
        <v>27</v>
      </c>
      <c r="J249" s="4">
        <v>10041.030000000001</v>
      </c>
      <c r="K249" s="5" t="s">
        <v>26</v>
      </c>
      <c r="L249" s="5"/>
      <c r="M249" s="4">
        <v>0</v>
      </c>
      <c r="N249" s="3">
        <v>100</v>
      </c>
    </row>
    <row r="250" spans="1:14">
      <c r="A250" s="6">
        <v>112</v>
      </c>
      <c r="B250" s="5" t="s">
        <v>305</v>
      </c>
      <c r="C250" s="5" t="s">
        <v>29</v>
      </c>
      <c r="D250" s="5" t="s">
        <v>28</v>
      </c>
      <c r="G250" s="5" t="s">
        <v>27</v>
      </c>
      <c r="H250" s="4">
        <v>8727.8700000000008</v>
      </c>
      <c r="I250" s="5" t="s">
        <v>27</v>
      </c>
      <c r="J250" s="4">
        <v>10041.030000000001</v>
      </c>
      <c r="K250" s="5" t="s">
        <v>26</v>
      </c>
      <c r="L250" s="5"/>
      <c r="M250" s="4">
        <v>0</v>
      </c>
      <c r="N250" s="3">
        <v>100</v>
      </c>
    </row>
    <row r="251" spans="1:14">
      <c r="A251" s="6">
        <v>112</v>
      </c>
      <c r="B251" s="5" t="s">
        <v>305</v>
      </c>
      <c r="C251" s="10" t="s">
        <v>612</v>
      </c>
      <c r="D251" s="5" t="s">
        <v>613</v>
      </c>
      <c r="E251" s="9" t="s">
        <v>222</v>
      </c>
      <c r="F251" s="9" t="s">
        <v>203</v>
      </c>
      <c r="G251" s="5" t="s">
        <v>7</v>
      </c>
      <c r="H251" s="4">
        <v>2600</v>
      </c>
      <c r="I251" s="5" t="s">
        <v>7</v>
      </c>
      <c r="J251" s="4">
        <v>0</v>
      </c>
      <c r="K251" s="5" t="s">
        <v>18</v>
      </c>
      <c r="L251" s="5" t="s">
        <v>7</v>
      </c>
      <c r="M251" s="4">
        <v>0</v>
      </c>
      <c r="N251" s="4"/>
    </row>
    <row r="252" spans="1:14">
      <c r="A252" s="6">
        <v>112</v>
      </c>
      <c r="B252" s="5" t="s">
        <v>305</v>
      </c>
      <c r="C252" s="5" t="s">
        <v>614</v>
      </c>
      <c r="D252" s="5" t="s">
        <v>615</v>
      </c>
      <c r="G252" s="5" t="s">
        <v>7</v>
      </c>
      <c r="H252" s="4">
        <v>2600</v>
      </c>
      <c r="I252" s="5" t="s">
        <v>7</v>
      </c>
      <c r="J252" s="4">
        <v>0</v>
      </c>
      <c r="K252" s="5" t="s">
        <v>18</v>
      </c>
      <c r="L252" s="5" t="s">
        <v>7</v>
      </c>
      <c r="M252" s="4">
        <v>0</v>
      </c>
      <c r="N252" s="4"/>
    </row>
    <row r="253" spans="1:14">
      <c r="A253" s="6">
        <v>112</v>
      </c>
      <c r="B253" s="5" t="s">
        <v>305</v>
      </c>
      <c r="C253" s="5" t="s">
        <v>616</v>
      </c>
      <c r="D253" s="5" t="s">
        <v>617</v>
      </c>
      <c r="G253" s="5" t="s">
        <v>7</v>
      </c>
      <c r="H253" s="4">
        <v>207565.15</v>
      </c>
      <c r="I253" s="5" t="s">
        <v>7</v>
      </c>
      <c r="J253" s="4">
        <v>319517.02</v>
      </c>
      <c r="K253" s="5" t="s">
        <v>713</v>
      </c>
      <c r="L253" s="5" t="s">
        <v>7</v>
      </c>
      <c r="M253" s="4">
        <v>367078.74</v>
      </c>
      <c r="N253" s="3">
        <v>-12.956</v>
      </c>
    </row>
    <row r="254" spans="1:14">
      <c r="A254" s="6">
        <v>112</v>
      </c>
      <c r="B254" s="5" t="s">
        <v>305</v>
      </c>
      <c r="C254" s="5" t="s">
        <v>618</v>
      </c>
      <c r="D254" s="5" t="s">
        <v>619</v>
      </c>
      <c r="G254" s="5" t="s">
        <v>7</v>
      </c>
      <c r="H254" s="4">
        <v>1750</v>
      </c>
      <c r="I254" s="5" t="s">
        <v>7</v>
      </c>
      <c r="J254" s="4">
        <v>0</v>
      </c>
      <c r="K254" s="5" t="s">
        <v>18</v>
      </c>
      <c r="L254" s="5" t="s">
        <v>7</v>
      </c>
      <c r="M254" s="4">
        <v>0</v>
      </c>
      <c r="N254" s="4"/>
    </row>
    <row r="255" spans="1:14">
      <c r="A255" s="6">
        <v>112</v>
      </c>
      <c r="B255" s="5" t="s">
        <v>305</v>
      </c>
      <c r="C255" s="5" t="s">
        <v>620</v>
      </c>
      <c r="D255" s="5" t="s">
        <v>621</v>
      </c>
      <c r="G255" s="5" t="s">
        <v>7</v>
      </c>
      <c r="H255" s="4">
        <v>63463.64</v>
      </c>
      <c r="I255" s="5" t="s">
        <v>7</v>
      </c>
      <c r="J255" s="4">
        <v>0</v>
      </c>
      <c r="K255" s="5" t="s">
        <v>18</v>
      </c>
      <c r="L255" s="5" t="s">
        <v>7</v>
      </c>
      <c r="M255" s="4">
        <v>0</v>
      </c>
      <c r="N255" s="4"/>
    </row>
    <row r="256" spans="1:14">
      <c r="A256" s="6">
        <v>112</v>
      </c>
      <c r="B256" s="5" t="s">
        <v>305</v>
      </c>
      <c r="C256" s="5" t="s">
        <v>622</v>
      </c>
      <c r="D256" s="5" t="s">
        <v>623</v>
      </c>
      <c r="G256" s="5" t="s">
        <v>7</v>
      </c>
      <c r="H256" s="4">
        <v>0</v>
      </c>
      <c r="I256" s="5" t="s">
        <v>7</v>
      </c>
      <c r="J256" s="4">
        <v>70000</v>
      </c>
      <c r="K256" s="5" t="s">
        <v>19</v>
      </c>
      <c r="L256" s="5" t="s">
        <v>7</v>
      </c>
      <c r="M256" s="4">
        <v>0</v>
      </c>
      <c r="N256" s="3">
        <v>100</v>
      </c>
    </row>
    <row r="257" spans="1:14">
      <c r="A257" s="6">
        <v>112</v>
      </c>
      <c r="B257" s="5" t="s">
        <v>305</v>
      </c>
      <c r="C257" s="5" t="s">
        <v>624</v>
      </c>
      <c r="D257" s="5" t="s">
        <v>625</v>
      </c>
      <c r="G257" s="5" t="s">
        <v>7</v>
      </c>
      <c r="H257" s="4">
        <v>0</v>
      </c>
      <c r="I257" s="5" t="s">
        <v>7</v>
      </c>
      <c r="J257" s="4">
        <v>181097.42</v>
      </c>
      <c r="K257" s="5" t="s">
        <v>19</v>
      </c>
      <c r="L257" s="5" t="s">
        <v>7</v>
      </c>
      <c r="M257" s="4">
        <v>0</v>
      </c>
      <c r="N257" s="3">
        <v>100</v>
      </c>
    </row>
    <row r="258" spans="1:14">
      <c r="A258" s="6">
        <v>112</v>
      </c>
      <c r="B258" s="5" t="s">
        <v>305</v>
      </c>
      <c r="C258" s="5" t="s">
        <v>626</v>
      </c>
      <c r="D258" s="5" t="s">
        <v>627</v>
      </c>
      <c r="G258" s="5" t="s">
        <v>7</v>
      </c>
      <c r="H258" s="4">
        <v>0</v>
      </c>
      <c r="I258" s="5" t="s">
        <v>7</v>
      </c>
      <c r="J258" s="4">
        <v>73000</v>
      </c>
      <c r="K258" s="5" t="s">
        <v>19</v>
      </c>
      <c r="L258" s="5" t="s">
        <v>7</v>
      </c>
      <c r="M258" s="4">
        <v>0</v>
      </c>
      <c r="N258" s="3">
        <v>100</v>
      </c>
    </row>
    <row r="259" spans="1:14">
      <c r="A259" s="6">
        <v>112</v>
      </c>
      <c r="B259" s="5" t="s">
        <v>305</v>
      </c>
      <c r="C259" s="5" t="s">
        <v>628</v>
      </c>
      <c r="D259" s="5" t="s">
        <v>629</v>
      </c>
      <c r="G259" s="5" t="s">
        <v>7</v>
      </c>
      <c r="H259" s="4">
        <v>109437.52</v>
      </c>
      <c r="I259" s="5" t="s">
        <v>7</v>
      </c>
      <c r="J259" s="4">
        <v>0</v>
      </c>
      <c r="K259" s="5" t="s">
        <v>18</v>
      </c>
      <c r="L259" s="5" t="s">
        <v>7</v>
      </c>
      <c r="M259" s="4">
        <v>0</v>
      </c>
      <c r="N259" s="4"/>
    </row>
    <row r="260" spans="1:14">
      <c r="A260" s="6">
        <v>112</v>
      </c>
      <c r="B260" s="5" t="s">
        <v>305</v>
      </c>
      <c r="C260" s="5" t="s">
        <v>630</v>
      </c>
      <c r="D260" s="5" t="s">
        <v>631</v>
      </c>
      <c r="G260" s="5" t="s">
        <v>7</v>
      </c>
      <c r="H260" s="4">
        <v>0</v>
      </c>
      <c r="I260" s="5" t="s">
        <v>7</v>
      </c>
      <c r="J260" s="4">
        <v>0</v>
      </c>
      <c r="K260" s="5"/>
      <c r="L260" s="5" t="s">
        <v>7</v>
      </c>
      <c r="M260" s="4">
        <v>71000</v>
      </c>
      <c r="N260" s="3">
        <v>-100</v>
      </c>
    </row>
    <row r="261" spans="1:14">
      <c r="A261" s="6">
        <v>112</v>
      </c>
      <c r="B261" s="5" t="s">
        <v>305</v>
      </c>
      <c r="C261" s="10" t="s">
        <v>25</v>
      </c>
      <c r="D261" s="5" t="s">
        <v>24</v>
      </c>
      <c r="E261" s="9" t="s">
        <v>222</v>
      </c>
      <c r="F261" s="9" t="s">
        <v>203</v>
      </c>
      <c r="G261" s="5" t="s">
        <v>7</v>
      </c>
      <c r="H261" s="4">
        <v>382216.31</v>
      </c>
      <c r="I261" s="5" t="s">
        <v>7</v>
      </c>
      <c r="J261" s="4">
        <v>643614.43999999994</v>
      </c>
      <c r="K261" s="5" t="s">
        <v>714</v>
      </c>
      <c r="L261" s="5" t="s">
        <v>7</v>
      </c>
      <c r="M261" s="4">
        <v>438078.74</v>
      </c>
      <c r="N261" s="3">
        <v>46.917000000000002</v>
      </c>
    </row>
    <row r="262" spans="1:14">
      <c r="A262" s="6">
        <v>112</v>
      </c>
      <c r="B262" s="5" t="s">
        <v>305</v>
      </c>
      <c r="C262" s="5" t="s">
        <v>23</v>
      </c>
      <c r="D262" s="5" t="s">
        <v>0</v>
      </c>
      <c r="G262" s="5" t="s">
        <v>7</v>
      </c>
      <c r="H262" s="4">
        <v>384816.31</v>
      </c>
      <c r="I262" s="5" t="s">
        <v>7</v>
      </c>
      <c r="J262" s="4">
        <v>643614.43999999994</v>
      </c>
      <c r="K262" s="5" t="s">
        <v>715</v>
      </c>
      <c r="L262" s="5" t="s">
        <v>7</v>
      </c>
      <c r="M262" s="4">
        <v>438078.74</v>
      </c>
      <c r="N262" s="3">
        <v>46.917000000000002</v>
      </c>
    </row>
    <row r="263" spans="1:14">
      <c r="A263" s="6">
        <v>112</v>
      </c>
      <c r="B263" s="5" t="s">
        <v>305</v>
      </c>
      <c r="C263" s="10" t="s">
        <v>632</v>
      </c>
      <c r="D263" s="5" t="s">
        <v>633</v>
      </c>
      <c r="E263" s="9" t="s">
        <v>222</v>
      </c>
      <c r="F263" s="9" t="s">
        <v>234</v>
      </c>
      <c r="G263" s="5" t="s">
        <v>7</v>
      </c>
      <c r="H263" s="4">
        <v>116575</v>
      </c>
      <c r="I263" s="5" t="s">
        <v>7</v>
      </c>
      <c r="J263" s="4">
        <v>11275</v>
      </c>
      <c r="K263" s="5" t="s">
        <v>22</v>
      </c>
      <c r="L263" s="5" t="s">
        <v>7</v>
      </c>
      <c r="M263" s="4">
        <v>24450</v>
      </c>
      <c r="N263" s="3">
        <v>-53.884999999999998</v>
      </c>
    </row>
    <row r="264" spans="1:14">
      <c r="A264" s="6">
        <v>112</v>
      </c>
      <c r="B264" s="5" t="s">
        <v>305</v>
      </c>
      <c r="C264" s="5" t="s">
        <v>466</v>
      </c>
      <c r="D264" s="5" t="s">
        <v>467</v>
      </c>
      <c r="G264" s="5" t="s">
        <v>7</v>
      </c>
      <c r="H264" s="4">
        <v>116575</v>
      </c>
      <c r="I264" s="5" t="s">
        <v>7</v>
      </c>
      <c r="J264" s="4">
        <v>11275</v>
      </c>
      <c r="K264" s="5" t="s">
        <v>22</v>
      </c>
      <c r="L264" s="5" t="s">
        <v>7</v>
      </c>
      <c r="M264" s="4">
        <v>24450</v>
      </c>
      <c r="N264" s="3">
        <v>-53.884999999999998</v>
      </c>
    </row>
    <row r="265" spans="1:14">
      <c r="A265" s="6">
        <v>112</v>
      </c>
      <c r="B265" s="5" t="s">
        <v>305</v>
      </c>
      <c r="C265" s="5" t="s">
        <v>468</v>
      </c>
      <c r="D265" s="5" t="s">
        <v>467</v>
      </c>
      <c r="G265" s="5" t="s">
        <v>7</v>
      </c>
      <c r="H265" s="4">
        <v>116575</v>
      </c>
      <c r="I265" s="5" t="s">
        <v>7</v>
      </c>
      <c r="J265" s="4">
        <v>11275</v>
      </c>
      <c r="K265" s="5" t="s">
        <v>22</v>
      </c>
      <c r="L265" s="5" t="s">
        <v>7</v>
      </c>
      <c r="M265" s="4">
        <v>24450</v>
      </c>
      <c r="N265" s="3">
        <v>-53.884999999999998</v>
      </c>
    </row>
    <row r="266" spans="1:14">
      <c r="A266" s="6">
        <v>112</v>
      </c>
      <c r="B266" s="5" t="s">
        <v>305</v>
      </c>
      <c r="C266" s="10" t="s">
        <v>634</v>
      </c>
      <c r="D266" s="5" t="s">
        <v>635</v>
      </c>
      <c r="G266" s="5" t="s">
        <v>7</v>
      </c>
      <c r="H266" s="4">
        <v>162.88</v>
      </c>
      <c r="I266" s="5" t="s">
        <v>7</v>
      </c>
      <c r="J266" s="4">
        <v>1082.33</v>
      </c>
      <c r="K266" s="5" t="s">
        <v>716</v>
      </c>
      <c r="L266" s="5" t="s">
        <v>7</v>
      </c>
      <c r="M266" s="4">
        <v>283.54000000000002</v>
      </c>
      <c r="N266" s="3">
        <v>281.72000000000003</v>
      </c>
    </row>
    <row r="267" spans="1:14">
      <c r="A267" s="6">
        <v>112</v>
      </c>
      <c r="B267" s="5" t="s">
        <v>305</v>
      </c>
      <c r="C267" s="5" t="s">
        <v>636</v>
      </c>
      <c r="D267" s="5" t="s">
        <v>637</v>
      </c>
      <c r="G267" s="5" t="s">
        <v>7</v>
      </c>
      <c r="H267" s="4">
        <v>0</v>
      </c>
      <c r="I267" s="5" t="s">
        <v>7</v>
      </c>
      <c r="J267" s="4">
        <v>11957.48</v>
      </c>
      <c r="K267" s="5" t="s">
        <v>19</v>
      </c>
      <c r="L267" s="5" t="s">
        <v>7</v>
      </c>
      <c r="M267" s="4">
        <v>0</v>
      </c>
      <c r="N267" s="3">
        <v>100</v>
      </c>
    </row>
    <row r="268" spans="1:14">
      <c r="A268" s="6">
        <v>112</v>
      </c>
      <c r="B268" s="5" t="s">
        <v>305</v>
      </c>
      <c r="C268" s="5" t="s">
        <v>638</v>
      </c>
      <c r="D268" s="5" t="s">
        <v>639</v>
      </c>
      <c r="G268" s="5" t="s">
        <v>7</v>
      </c>
      <c r="H268" s="4">
        <v>68.819999999999993</v>
      </c>
      <c r="I268" s="5" t="s">
        <v>7</v>
      </c>
      <c r="J268" s="4">
        <v>0</v>
      </c>
      <c r="K268" s="5" t="s">
        <v>18</v>
      </c>
      <c r="L268" s="5" t="s">
        <v>7</v>
      </c>
      <c r="M268" s="4">
        <v>0</v>
      </c>
      <c r="N268" s="4"/>
    </row>
    <row r="269" spans="1:14">
      <c r="A269" s="6">
        <v>112</v>
      </c>
      <c r="B269" s="5" t="s">
        <v>305</v>
      </c>
      <c r="C269" s="5" t="s">
        <v>21</v>
      </c>
      <c r="D269" s="5" t="s">
        <v>20</v>
      </c>
      <c r="G269" s="5" t="s">
        <v>7</v>
      </c>
      <c r="H269" s="4">
        <v>14.64</v>
      </c>
      <c r="I269" s="5" t="s">
        <v>7</v>
      </c>
      <c r="J269" s="4">
        <v>4.3899999999999997</v>
      </c>
      <c r="K269" s="5" t="s">
        <v>717</v>
      </c>
      <c r="L269" s="5" t="s">
        <v>7</v>
      </c>
      <c r="M269" s="4">
        <v>2.56</v>
      </c>
      <c r="N269" s="3">
        <v>71.483999999999995</v>
      </c>
    </row>
    <row r="270" spans="1:14">
      <c r="A270" s="6">
        <v>112</v>
      </c>
      <c r="B270" s="5" t="s">
        <v>305</v>
      </c>
      <c r="C270" s="5" t="s">
        <v>640</v>
      </c>
      <c r="D270" s="5" t="s">
        <v>641</v>
      </c>
      <c r="G270" s="5" t="s">
        <v>7</v>
      </c>
      <c r="H270" s="4">
        <v>0</v>
      </c>
      <c r="I270" s="5" t="s">
        <v>7</v>
      </c>
      <c r="J270" s="4">
        <v>4250</v>
      </c>
      <c r="K270" s="5" t="s">
        <v>19</v>
      </c>
      <c r="L270" s="5" t="s">
        <v>7</v>
      </c>
      <c r="M270" s="4">
        <v>0</v>
      </c>
      <c r="N270" s="3">
        <v>100</v>
      </c>
    </row>
    <row r="271" spans="1:14">
      <c r="A271" s="6">
        <v>112</v>
      </c>
      <c r="B271" s="5" t="s">
        <v>305</v>
      </c>
      <c r="C271" s="5" t="s">
        <v>642</v>
      </c>
      <c r="D271" s="5" t="s">
        <v>643</v>
      </c>
      <c r="G271" s="5" t="s">
        <v>7</v>
      </c>
      <c r="H271" s="4">
        <v>3966.1</v>
      </c>
      <c r="I271" s="5" t="s">
        <v>7</v>
      </c>
      <c r="J271" s="4">
        <v>0</v>
      </c>
      <c r="K271" s="5" t="s">
        <v>18</v>
      </c>
      <c r="L271" s="5" t="s">
        <v>7</v>
      </c>
      <c r="M271" s="4">
        <v>0</v>
      </c>
      <c r="N271" s="4"/>
    </row>
    <row r="272" spans="1:14">
      <c r="A272" s="6">
        <v>112</v>
      </c>
      <c r="B272" s="5" t="s">
        <v>305</v>
      </c>
      <c r="C272" s="10" t="s">
        <v>17</v>
      </c>
      <c r="D272" s="5" t="s">
        <v>15</v>
      </c>
      <c r="E272" s="9" t="s">
        <v>222</v>
      </c>
      <c r="F272" s="9" t="s">
        <v>207</v>
      </c>
      <c r="G272" s="5" t="s">
        <v>7</v>
      </c>
      <c r="H272" s="4">
        <v>4212.4399999999996</v>
      </c>
      <c r="I272" s="5" t="s">
        <v>7</v>
      </c>
      <c r="J272" s="4">
        <v>17294.2</v>
      </c>
      <c r="K272" s="5" t="s">
        <v>718</v>
      </c>
      <c r="L272" s="5" t="s">
        <v>7</v>
      </c>
      <c r="M272" s="4">
        <v>286.10000000000002</v>
      </c>
      <c r="N272" s="3" t="s">
        <v>653</v>
      </c>
    </row>
    <row r="273" spans="1:14">
      <c r="A273" s="6">
        <v>112</v>
      </c>
      <c r="B273" s="5" t="s">
        <v>305</v>
      </c>
      <c r="C273" s="10" t="s">
        <v>644</v>
      </c>
      <c r="D273" s="5" t="s">
        <v>645</v>
      </c>
      <c r="E273" s="9" t="s">
        <v>222</v>
      </c>
      <c r="F273" s="9" t="s">
        <v>208</v>
      </c>
      <c r="G273" s="5" t="s">
        <v>7</v>
      </c>
      <c r="H273" s="4">
        <v>4983.4799999999996</v>
      </c>
      <c r="I273" s="5" t="s">
        <v>7</v>
      </c>
      <c r="J273" s="4">
        <v>9723.48</v>
      </c>
      <c r="K273" s="5" t="s">
        <v>719</v>
      </c>
      <c r="L273" s="5" t="s">
        <v>7</v>
      </c>
      <c r="M273" s="4">
        <v>33951.050000000003</v>
      </c>
      <c r="N273" s="3">
        <v>-71.36</v>
      </c>
    </row>
    <row r="274" spans="1:14">
      <c r="A274" s="6">
        <v>112</v>
      </c>
      <c r="B274" s="5" t="s">
        <v>305</v>
      </c>
      <c r="C274" s="5" t="s">
        <v>646</v>
      </c>
      <c r="D274" s="5" t="s">
        <v>647</v>
      </c>
      <c r="G274" s="5" t="s">
        <v>7</v>
      </c>
      <c r="H274" s="4">
        <v>4983.4799999999996</v>
      </c>
      <c r="I274" s="5" t="s">
        <v>7</v>
      </c>
      <c r="J274" s="4">
        <v>9723.48</v>
      </c>
      <c r="K274" s="5" t="s">
        <v>719</v>
      </c>
      <c r="L274" s="5" t="s">
        <v>7</v>
      </c>
      <c r="M274" s="4">
        <v>33951.050000000003</v>
      </c>
      <c r="N274" s="3">
        <v>-71.36</v>
      </c>
    </row>
    <row r="275" spans="1:14">
      <c r="A275" s="6">
        <v>112</v>
      </c>
      <c r="B275" s="5" t="s">
        <v>305</v>
      </c>
      <c r="C275" s="5" t="s">
        <v>16</v>
      </c>
      <c r="D275" s="5" t="s">
        <v>15</v>
      </c>
      <c r="G275" s="5" t="s">
        <v>7</v>
      </c>
      <c r="H275" s="4">
        <v>9195.92</v>
      </c>
      <c r="I275" s="5" t="s">
        <v>7</v>
      </c>
      <c r="J275" s="4">
        <v>27017.68</v>
      </c>
      <c r="K275" s="5" t="s">
        <v>720</v>
      </c>
      <c r="L275" s="5" t="s">
        <v>7</v>
      </c>
      <c r="M275" s="4">
        <v>34237.15</v>
      </c>
      <c r="N275" s="3">
        <v>-21.085999999999999</v>
      </c>
    </row>
    <row r="276" spans="1:14">
      <c r="A276" s="6">
        <v>112</v>
      </c>
      <c r="B276" s="5" t="s">
        <v>305</v>
      </c>
      <c r="C276" s="10" t="s">
        <v>648</v>
      </c>
      <c r="D276" s="5" t="s">
        <v>649</v>
      </c>
      <c r="E276" s="9" t="s">
        <v>222</v>
      </c>
      <c r="F276" s="9" t="s">
        <v>234</v>
      </c>
      <c r="G276" s="5" t="s">
        <v>7</v>
      </c>
      <c r="H276" s="4">
        <v>645.80999999999995</v>
      </c>
      <c r="I276" s="5" t="s">
        <v>7</v>
      </c>
      <c r="J276" s="4">
        <v>3602.11</v>
      </c>
      <c r="K276" s="5" t="s">
        <v>14</v>
      </c>
      <c r="L276" s="5" t="s">
        <v>7</v>
      </c>
      <c r="M276" s="4">
        <v>0</v>
      </c>
      <c r="N276" s="3">
        <v>100</v>
      </c>
    </row>
    <row r="277" spans="1:14">
      <c r="A277" s="6">
        <v>112</v>
      </c>
      <c r="B277" s="5" t="s">
        <v>305</v>
      </c>
      <c r="C277" s="5" t="s">
        <v>584</v>
      </c>
      <c r="D277" s="5" t="s">
        <v>585</v>
      </c>
      <c r="G277" s="5" t="s">
        <v>7</v>
      </c>
      <c r="H277" s="4">
        <v>645.80999999999995</v>
      </c>
      <c r="I277" s="5" t="s">
        <v>7</v>
      </c>
      <c r="J277" s="4">
        <v>3602.11</v>
      </c>
      <c r="K277" s="5" t="s">
        <v>14</v>
      </c>
      <c r="L277" s="5" t="s">
        <v>7</v>
      </c>
      <c r="M277" s="4">
        <v>0</v>
      </c>
      <c r="N277" s="3">
        <v>100</v>
      </c>
    </row>
    <row r="278" spans="1:14">
      <c r="A278" s="6">
        <v>112</v>
      </c>
      <c r="B278" s="5" t="s">
        <v>305</v>
      </c>
      <c r="C278" s="5" t="s">
        <v>287</v>
      </c>
      <c r="D278" s="5" t="s">
        <v>288</v>
      </c>
      <c r="G278" s="5" t="s">
        <v>7</v>
      </c>
      <c r="H278" s="4">
        <v>645.80999999999995</v>
      </c>
      <c r="I278" s="5" t="s">
        <v>7</v>
      </c>
      <c r="J278" s="4">
        <v>3602.11</v>
      </c>
      <c r="K278" s="5" t="s">
        <v>14</v>
      </c>
      <c r="L278" s="5" t="s">
        <v>7</v>
      </c>
      <c r="M278" s="4">
        <v>0</v>
      </c>
      <c r="N278" s="3">
        <v>100</v>
      </c>
    </row>
    <row r="279" spans="1:14">
      <c r="A279" s="6">
        <v>112</v>
      </c>
      <c r="B279" s="5" t="s">
        <v>305</v>
      </c>
      <c r="C279" s="10" t="s">
        <v>13</v>
      </c>
      <c r="D279" s="5" t="s">
        <v>12</v>
      </c>
      <c r="E279" s="9" t="s">
        <v>222</v>
      </c>
      <c r="F279" s="9" t="s">
        <v>208</v>
      </c>
      <c r="G279" s="5" t="s">
        <v>7</v>
      </c>
      <c r="H279" s="4">
        <v>253.53</v>
      </c>
      <c r="I279" s="5" t="s">
        <v>7</v>
      </c>
      <c r="J279" s="4">
        <v>534.07000000000005</v>
      </c>
      <c r="K279" s="5" t="s">
        <v>721</v>
      </c>
      <c r="L279" s="5" t="s">
        <v>7</v>
      </c>
      <c r="M279" s="4">
        <v>0</v>
      </c>
      <c r="N279" s="3">
        <v>100</v>
      </c>
    </row>
    <row r="280" spans="1:14">
      <c r="A280" s="6">
        <v>112</v>
      </c>
      <c r="B280" s="5" t="s">
        <v>305</v>
      </c>
      <c r="C280" s="5" t="s">
        <v>11</v>
      </c>
      <c r="D280" s="5" t="s">
        <v>10</v>
      </c>
      <c r="G280" s="5" t="s">
        <v>7</v>
      </c>
      <c r="H280" s="4">
        <v>253.53</v>
      </c>
      <c r="I280" s="5" t="s">
        <v>7</v>
      </c>
      <c r="J280" s="4">
        <v>534.07000000000005</v>
      </c>
      <c r="K280" s="5" t="s">
        <v>721</v>
      </c>
      <c r="L280" s="5" t="s">
        <v>7</v>
      </c>
      <c r="M280" s="4">
        <v>0</v>
      </c>
      <c r="N280" s="3">
        <v>100</v>
      </c>
    </row>
    <row r="281" spans="1:14">
      <c r="A281" s="6">
        <v>112</v>
      </c>
      <c r="B281" s="5" t="s">
        <v>305</v>
      </c>
      <c r="C281" s="5" t="s">
        <v>9</v>
      </c>
      <c r="D281" s="5" t="s">
        <v>8</v>
      </c>
      <c r="G281" s="5" t="s">
        <v>7</v>
      </c>
      <c r="H281" s="4">
        <v>253.53</v>
      </c>
      <c r="I281" s="5" t="s">
        <v>7</v>
      </c>
      <c r="J281" s="4">
        <v>534.07000000000005</v>
      </c>
      <c r="K281" s="5" t="s">
        <v>721</v>
      </c>
      <c r="L281" s="5" t="s">
        <v>7</v>
      </c>
      <c r="M281" s="4">
        <v>0</v>
      </c>
      <c r="N281" s="3">
        <v>100</v>
      </c>
    </row>
  </sheetData>
  <autoFilter ref="A1:P281" xr:uid="{9FFEC611-E6EB-452B-A2DC-25EF8E0E50DB}"/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C2B7471-BF26-48AD-93ED-610F8920F5F2}">
          <x14:formula1>
            <xm:f>'Sigle MASTRI'!$B$3:$B$6</xm:f>
          </x14:formula1>
          <xm:sqref>E2:E691</xm:sqref>
        </x14:dataValidation>
        <x14:dataValidation type="list" allowBlank="1" showInputMessage="1" showErrorMessage="1" xr:uid="{0374124C-9614-498E-8969-6ECB83C33702}">
          <x14:formula1>
            <xm:f>'Sigle MASTRI'!$B$8:$B$21</xm:f>
          </x14:formula1>
          <xm:sqref>F2:F691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D047-B45F-4CBA-99F0-51D7CE92B71B}">
  <dimension ref="A1:D98"/>
  <sheetViews>
    <sheetView topLeftCell="A16" workbookViewId="0">
      <selection activeCell="A27" sqref="A27"/>
    </sheetView>
  </sheetViews>
  <sheetFormatPr defaultRowHeight="15"/>
  <cols>
    <col min="1" max="1" width="38.28515625" customWidth="1"/>
    <col min="2" max="4" width="15.28515625" customWidth="1"/>
    <col min="5" max="5" width="13.5703125" customWidth="1"/>
  </cols>
  <sheetData>
    <row r="1" spans="1:4">
      <c r="A1" s="113" t="s">
        <v>296</v>
      </c>
    </row>
    <row r="2" spans="1:4">
      <c r="A2" s="113" t="s">
        <v>304</v>
      </c>
    </row>
    <row r="3" spans="1:4">
      <c r="A3" s="11" t="s">
        <v>297</v>
      </c>
      <c r="B3" t="s">
        <v>240</v>
      </c>
      <c r="C3" t="s">
        <v>241</v>
      </c>
      <c r="D3" t="s">
        <v>242</v>
      </c>
    </row>
    <row r="4" spans="1:4">
      <c r="A4" s="12" t="s">
        <v>225</v>
      </c>
      <c r="B4" s="13">
        <v>181715</v>
      </c>
      <c r="C4" s="13">
        <v>204601.28999999995</v>
      </c>
      <c r="D4" s="13">
        <v>185621.78999999995</v>
      </c>
    </row>
    <row r="5" spans="1:4">
      <c r="A5" s="148" t="s">
        <v>197</v>
      </c>
      <c r="B5" s="13">
        <v>35174.54</v>
      </c>
      <c r="C5" s="13">
        <v>55153.44999999999</v>
      </c>
      <c r="D5" s="13">
        <v>33885.630000000005</v>
      </c>
    </row>
    <row r="6" spans="1:4">
      <c r="A6" s="149" t="s">
        <v>65</v>
      </c>
      <c r="B6" s="13">
        <v>6868</v>
      </c>
      <c r="C6" s="13">
        <v>7147.55</v>
      </c>
      <c r="D6" s="13">
        <v>5756.36</v>
      </c>
    </row>
    <row r="7" spans="1:4">
      <c r="A7" s="149" t="s">
        <v>63</v>
      </c>
      <c r="B7" s="13">
        <v>212.85</v>
      </c>
      <c r="C7" s="13">
        <v>278.76</v>
      </c>
      <c r="D7" s="13">
        <v>324</v>
      </c>
    </row>
    <row r="8" spans="1:4">
      <c r="A8" s="149" t="s">
        <v>74</v>
      </c>
      <c r="B8" s="13">
        <v>150.63</v>
      </c>
      <c r="C8" s="13">
        <v>203.98</v>
      </c>
      <c r="D8" s="13">
        <v>211.39</v>
      </c>
    </row>
    <row r="9" spans="1:4">
      <c r="A9" s="149" t="s">
        <v>44</v>
      </c>
      <c r="B9" s="13">
        <v>72.239999999999995</v>
      </c>
      <c r="C9" s="13">
        <v>2</v>
      </c>
      <c r="D9" s="13">
        <v>110.7</v>
      </c>
    </row>
    <row r="10" spans="1:4">
      <c r="A10" s="149" t="s">
        <v>286</v>
      </c>
      <c r="B10" s="13">
        <v>484</v>
      </c>
      <c r="C10" s="13">
        <v>887</v>
      </c>
      <c r="D10" s="13">
        <v>920.11</v>
      </c>
    </row>
    <row r="11" spans="1:4">
      <c r="A11" s="149" t="s">
        <v>488</v>
      </c>
      <c r="B11" s="13">
        <v>108.55</v>
      </c>
      <c r="C11" s="13">
        <v>0</v>
      </c>
      <c r="D11" s="13">
        <v>0</v>
      </c>
    </row>
    <row r="12" spans="1:4">
      <c r="A12" s="149" t="s">
        <v>490</v>
      </c>
      <c r="B12" s="13">
        <v>0</v>
      </c>
      <c r="C12" s="13">
        <v>0</v>
      </c>
      <c r="D12" s="13">
        <v>91.97</v>
      </c>
    </row>
    <row r="13" spans="1:4">
      <c r="A13" s="149" t="s">
        <v>492</v>
      </c>
      <c r="B13" s="13">
        <v>6847.36</v>
      </c>
      <c r="C13" s="13">
        <v>6739.05</v>
      </c>
      <c r="D13" s="13">
        <v>5109.22</v>
      </c>
    </row>
    <row r="14" spans="1:4">
      <c r="A14" s="149" t="s">
        <v>494</v>
      </c>
      <c r="B14" s="13">
        <v>316.45</v>
      </c>
      <c r="C14" s="13">
        <v>290.17</v>
      </c>
      <c r="D14" s="13">
        <v>503.32</v>
      </c>
    </row>
    <row r="15" spans="1:4">
      <c r="A15" s="149" t="s">
        <v>500</v>
      </c>
      <c r="B15" s="13">
        <v>4334.99</v>
      </c>
      <c r="C15" s="13">
        <v>2810.61</v>
      </c>
      <c r="D15" s="13">
        <v>7804.13</v>
      </c>
    </row>
    <row r="16" spans="1:4">
      <c r="A16" s="149" t="s">
        <v>502</v>
      </c>
      <c r="B16" s="13">
        <v>1511.85</v>
      </c>
      <c r="C16" s="13">
        <v>21587.96</v>
      </c>
      <c r="D16" s="13">
        <v>0</v>
      </c>
    </row>
    <row r="17" spans="1:4">
      <c r="A17" s="149" t="s">
        <v>504</v>
      </c>
      <c r="B17" s="13">
        <v>289.12</v>
      </c>
      <c r="C17" s="13">
        <v>154.59</v>
      </c>
      <c r="D17" s="13">
        <v>153.01</v>
      </c>
    </row>
    <row r="18" spans="1:4">
      <c r="A18" s="149" t="s">
        <v>506</v>
      </c>
      <c r="B18" s="13">
        <v>2869.04</v>
      </c>
      <c r="C18" s="13">
        <v>3460.82</v>
      </c>
      <c r="D18" s="13">
        <v>3426.98</v>
      </c>
    </row>
    <row r="19" spans="1:4">
      <c r="A19" s="149" t="s">
        <v>508</v>
      </c>
      <c r="B19" s="13">
        <v>368.46</v>
      </c>
      <c r="C19" s="13">
        <v>1498.24</v>
      </c>
      <c r="D19" s="13">
        <v>2425.2399999999998</v>
      </c>
    </row>
    <row r="20" spans="1:4">
      <c r="A20" s="149" t="s">
        <v>510</v>
      </c>
      <c r="B20" s="13">
        <v>430.98</v>
      </c>
      <c r="C20" s="13">
        <v>0</v>
      </c>
      <c r="D20" s="13">
        <v>0</v>
      </c>
    </row>
    <row r="21" spans="1:4">
      <c r="A21" s="149" t="s">
        <v>512</v>
      </c>
      <c r="B21" s="13">
        <v>2245.3000000000002</v>
      </c>
      <c r="C21" s="13">
        <v>146</v>
      </c>
      <c r="D21" s="13">
        <v>862.5</v>
      </c>
    </row>
    <row r="22" spans="1:4">
      <c r="A22" s="149" t="s">
        <v>514</v>
      </c>
      <c r="B22" s="13">
        <v>3674.15</v>
      </c>
      <c r="C22" s="13">
        <v>4995.95</v>
      </c>
      <c r="D22" s="13">
        <v>2370.5</v>
      </c>
    </row>
    <row r="23" spans="1:4">
      <c r="A23" s="149" t="s">
        <v>516</v>
      </c>
      <c r="B23" s="13">
        <v>573.77</v>
      </c>
      <c r="C23" s="13">
        <v>513.12</v>
      </c>
      <c r="D23" s="13">
        <v>0</v>
      </c>
    </row>
    <row r="24" spans="1:4">
      <c r="A24" s="149" t="s">
        <v>518</v>
      </c>
      <c r="B24" s="13">
        <v>0</v>
      </c>
      <c r="C24" s="13">
        <v>318.5</v>
      </c>
      <c r="D24" s="13">
        <v>519</v>
      </c>
    </row>
    <row r="25" spans="1:4">
      <c r="A25" s="149" t="s">
        <v>523</v>
      </c>
      <c r="B25" s="13">
        <v>0</v>
      </c>
      <c r="C25" s="13">
        <v>500</v>
      </c>
      <c r="D25" s="13">
        <v>500</v>
      </c>
    </row>
    <row r="26" spans="1:4">
      <c r="A26" s="149" t="s">
        <v>525</v>
      </c>
      <c r="B26" s="13">
        <v>1851.38</v>
      </c>
      <c r="C26" s="13">
        <v>1672.2</v>
      </c>
      <c r="D26" s="13">
        <v>1537.2</v>
      </c>
    </row>
    <row r="27" spans="1:4">
      <c r="A27" s="149" t="s">
        <v>527</v>
      </c>
      <c r="B27" s="13">
        <v>1000</v>
      </c>
      <c r="C27" s="13">
        <v>0</v>
      </c>
      <c r="D27" s="13">
        <v>0</v>
      </c>
    </row>
    <row r="28" spans="1:4">
      <c r="A28" s="149" t="s">
        <v>531</v>
      </c>
      <c r="B28" s="13">
        <v>0</v>
      </c>
      <c r="C28" s="13">
        <v>1200</v>
      </c>
      <c r="D28" s="13">
        <v>1228</v>
      </c>
    </row>
    <row r="29" spans="1:4">
      <c r="A29" s="149" t="s">
        <v>533</v>
      </c>
      <c r="B29" s="13">
        <v>0</v>
      </c>
      <c r="C29" s="13">
        <v>0</v>
      </c>
      <c r="D29" s="13">
        <v>32</v>
      </c>
    </row>
    <row r="30" spans="1:4">
      <c r="A30" s="149" t="s">
        <v>535</v>
      </c>
      <c r="B30" s="13">
        <v>57.98</v>
      </c>
      <c r="C30" s="13">
        <v>0</v>
      </c>
      <c r="D30" s="13">
        <v>0</v>
      </c>
    </row>
    <row r="31" spans="1:4">
      <c r="A31" s="149" t="s">
        <v>537</v>
      </c>
      <c r="B31" s="13">
        <v>907.44</v>
      </c>
      <c r="C31" s="13">
        <v>746.95</v>
      </c>
      <c r="D31" s="13">
        <v>0</v>
      </c>
    </row>
    <row r="32" spans="1:4">
      <c r="A32" s="148" t="s">
        <v>202</v>
      </c>
      <c r="B32" s="13">
        <v>28745.77</v>
      </c>
      <c r="C32" s="13">
        <v>19935.309999999994</v>
      </c>
      <c r="D32" s="13">
        <v>29303.83</v>
      </c>
    </row>
    <row r="33" spans="1:4">
      <c r="A33" s="149" t="s">
        <v>42</v>
      </c>
      <c r="B33" s="13">
        <v>4.8</v>
      </c>
      <c r="C33" s="13">
        <v>29.19</v>
      </c>
      <c r="D33" s="13">
        <v>6.95</v>
      </c>
    </row>
    <row r="34" spans="1:4">
      <c r="A34" s="149" t="s">
        <v>52</v>
      </c>
      <c r="B34" s="13">
        <v>228</v>
      </c>
      <c r="C34" s="13">
        <v>203</v>
      </c>
      <c r="D34" s="13">
        <v>229</v>
      </c>
    </row>
    <row r="35" spans="1:4">
      <c r="A35" s="149" t="s">
        <v>54</v>
      </c>
      <c r="B35" s="13">
        <v>136</v>
      </c>
      <c r="C35" s="13">
        <v>194.9</v>
      </c>
      <c r="D35" s="13">
        <v>122</v>
      </c>
    </row>
    <row r="36" spans="1:4">
      <c r="A36" s="149" t="s">
        <v>48</v>
      </c>
      <c r="B36" s="13">
        <v>181.19</v>
      </c>
      <c r="C36" s="13">
        <v>722.97</v>
      </c>
      <c r="D36" s="13">
        <v>0</v>
      </c>
    </row>
    <row r="37" spans="1:4">
      <c r="A37" s="149" t="s">
        <v>68</v>
      </c>
      <c r="B37" s="13">
        <v>263.77</v>
      </c>
      <c r="C37" s="13">
        <v>342.63</v>
      </c>
      <c r="D37" s="13">
        <v>1684.98</v>
      </c>
    </row>
    <row r="38" spans="1:4">
      <c r="A38" s="149" t="s">
        <v>46</v>
      </c>
      <c r="B38" s="13">
        <v>25784.34</v>
      </c>
      <c r="C38" s="13">
        <v>16672.28</v>
      </c>
      <c r="D38" s="13">
        <v>0</v>
      </c>
    </row>
    <row r="39" spans="1:4">
      <c r="A39" s="149" t="s">
        <v>67</v>
      </c>
      <c r="B39" s="13">
        <v>53</v>
      </c>
      <c r="C39" s="13">
        <v>6.55</v>
      </c>
      <c r="D39" s="13">
        <v>13.1</v>
      </c>
    </row>
    <row r="40" spans="1:4">
      <c r="A40" s="149" t="s">
        <v>529</v>
      </c>
      <c r="B40" s="13">
        <v>1000</v>
      </c>
      <c r="C40" s="13">
        <v>610</v>
      </c>
      <c r="D40" s="13">
        <v>0</v>
      </c>
    </row>
    <row r="41" spans="1:4">
      <c r="A41" s="149" t="s">
        <v>587</v>
      </c>
      <c r="B41" s="13">
        <v>309.87</v>
      </c>
      <c r="C41" s="13">
        <v>309.87</v>
      </c>
      <c r="D41" s="13">
        <v>309.87</v>
      </c>
    </row>
    <row r="42" spans="1:4">
      <c r="A42" s="149" t="s">
        <v>589</v>
      </c>
      <c r="B42" s="13">
        <v>675.31</v>
      </c>
      <c r="C42" s="13">
        <v>130.81</v>
      </c>
      <c r="D42" s="13">
        <v>486.59</v>
      </c>
    </row>
    <row r="43" spans="1:4">
      <c r="A43" s="149" t="s">
        <v>591</v>
      </c>
      <c r="B43" s="13">
        <v>0</v>
      </c>
      <c r="C43" s="13">
        <v>133.1</v>
      </c>
      <c r="D43" s="13">
        <v>133.1</v>
      </c>
    </row>
    <row r="44" spans="1:4">
      <c r="A44" s="149" t="s">
        <v>593</v>
      </c>
      <c r="B44" s="13">
        <v>0</v>
      </c>
      <c r="C44" s="13">
        <v>580.01</v>
      </c>
      <c r="D44" s="13">
        <v>0</v>
      </c>
    </row>
    <row r="45" spans="1:4">
      <c r="A45" s="149" t="s">
        <v>595</v>
      </c>
      <c r="B45" s="13">
        <v>107.16</v>
      </c>
      <c r="C45" s="13">
        <v>0</v>
      </c>
      <c r="D45" s="13">
        <v>0</v>
      </c>
    </row>
    <row r="46" spans="1:4">
      <c r="A46" s="149" t="s">
        <v>597</v>
      </c>
      <c r="B46" s="13">
        <v>2.33</v>
      </c>
      <c r="C46" s="13">
        <v>0</v>
      </c>
      <c r="D46" s="13">
        <v>346.24</v>
      </c>
    </row>
    <row r="47" spans="1:4">
      <c r="A47" s="149" t="s">
        <v>599</v>
      </c>
      <c r="B47" s="13">
        <v>0</v>
      </c>
      <c r="C47" s="13">
        <v>0</v>
      </c>
      <c r="D47" s="13">
        <v>24</v>
      </c>
    </row>
    <row r="48" spans="1:4">
      <c r="A48" s="149" t="s">
        <v>607</v>
      </c>
      <c r="B48" s="13">
        <v>0</v>
      </c>
      <c r="C48" s="13">
        <v>0</v>
      </c>
      <c r="D48" s="13">
        <v>25948</v>
      </c>
    </row>
    <row r="49" spans="1:4">
      <c r="A49" s="148" t="s">
        <v>198</v>
      </c>
      <c r="B49" s="13">
        <v>47708.5</v>
      </c>
      <c r="C49" s="13">
        <v>40199.51</v>
      </c>
      <c r="D49" s="13">
        <v>40933.29</v>
      </c>
    </row>
    <row r="50" spans="1:4">
      <c r="A50" s="149" t="s">
        <v>543</v>
      </c>
      <c r="B50" s="13">
        <v>47029.02</v>
      </c>
      <c r="C50" s="13">
        <v>40199.51</v>
      </c>
      <c r="D50" s="13">
        <v>40933.29</v>
      </c>
    </row>
    <row r="51" spans="1:4">
      <c r="A51" s="149" t="s">
        <v>547</v>
      </c>
      <c r="B51" s="13">
        <v>679.48</v>
      </c>
      <c r="C51" s="13">
        <v>0</v>
      </c>
      <c r="D51" s="13">
        <v>0</v>
      </c>
    </row>
    <row r="52" spans="1:4">
      <c r="A52" s="148" t="s">
        <v>200</v>
      </c>
      <c r="B52" s="13">
        <v>47368</v>
      </c>
      <c r="C52" s="13">
        <v>50980.59</v>
      </c>
      <c r="D52" s="13">
        <v>43946.259999999995</v>
      </c>
    </row>
    <row r="53" spans="1:4">
      <c r="A53" s="149" t="s">
        <v>550</v>
      </c>
      <c r="B53" s="13">
        <v>28191.37</v>
      </c>
      <c r="C53" s="13">
        <v>30825.05</v>
      </c>
      <c r="D53" s="13">
        <v>26757.7</v>
      </c>
    </row>
    <row r="54" spans="1:4">
      <c r="A54" s="149" t="s">
        <v>554</v>
      </c>
      <c r="B54" s="13">
        <v>8740.49</v>
      </c>
      <c r="C54" s="13">
        <v>8941.26</v>
      </c>
      <c r="D54" s="13">
        <v>8323.51</v>
      </c>
    </row>
    <row r="55" spans="1:4">
      <c r="A55" s="149" t="s">
        <v>556</v>
      </c>
      <c r="B55" s="13">
        <v>6259.05</v>
      </c>
      <c r="C55" s="13">
        <v>6682.28</v>
      </c>
      <c r="D55" s="13">
        <v>7019.93</v>
      </c>
    </row>
    <row r="56" spans="1:4">
      <c r="A56" s="149" t="s">
        <v>558</v>
      </c>
      <c r="B56" s="13">
        <v>1553.54</v>
      </c>
      <c r="C56" s="13">
        <v>1677.13</v>
      </c>
      <c r="D56" s="13">
        <v>1539.77</v>
      </c>
    </row>
    <row r="57" spans="1:4">
      <c r="A57" s="149" t="s">
        <v>560</v>
      </c>
      <c r="B57" s="13">
        <v>137.44999999999999</v>
      </c>
      <c r="C57" s="13">
        <v>150.43</v>
      </c>
      <c r="D57" s="13">
        <v>70.900000000000006</v>
      </c>
    </row>
    <row r="58" spans="1:4">
      <c r="A58" s="149" t="s">
        <v>564</v>
      </c>
      <c r="B58" s="13">
        <v>2344.1</v>
      </c>
      <c r="C58" s="13">
        <v>2549.44</v>
      </c>
      <c r="D58" s="13">
        <v>111.06</v>
      </c>
    </row>
    <row r="59" spans="1:4">
      <c r="A59" s="149" t="s">
        <v>568</v>
      </c>
      <c r="B59" s="13">
        <v>142</v>
      </c>
      <c r="C59" s="13">
        <v>155</v>
      </c>
      <c r="D59" s="13">
        <v>123.39</v>
      </c>
    </row>
    <row r="60" spans="1:4">
      <c r="A60" s="148" t="s">
        <v>201</v>
      </c>
      <c r="B60" s="13">
        <v>15395.95</v>
      </c>
      <c r="C60" s="13">
        <v>29506.2</v>
      </c>
      <c r="D60" s="13">
        <v>32821.1</v>
      </c>
    </row>
    <row r="61" spans="1:4">
      <c r="A61" s="149" t="s">
        <v>573</v>
      </c>
      <c r="B61" s="13">
        <v>2434.86</v>
      </c>
      <c r="C61" s="13">
        <v>2434.86</v>
      </c>
      <c r="D61" s="13">
        <v>2434.86</v>
      </c>
    </row>
    <row r="62" spans="1:4">
      <c r="A62" s="149" t="s">
        <v>575</v>
      </c>
      <c r="B62" s="13">
        <v>51.25</v>
      </c>
      <c r="C62" s="13">
        <v>829.96</v>
      </c>
      <c r="D62" s="13">
        <v>1659.93</v>
      </c>
    </row>
    <row r="63" spans="1:4">
      <c r="A63" s="149" t="s">
        <v>579</v>
      </c>
      <c r="B63" s="13">
        <v>12909.84</v>
      </c>
      <c r="C63" s="13">
        <v>26241.38</v>
      </c>
      <c r="D63" s="13">
        <v>28726.31</v>
      </c>
    </row>
    <row r="64" spans="1:4">
      <c r="A64" s="148" t="s">
        <v>205</v>
      </c>
      <c r="B64" s="13">
        <v>7322.24</v>
      </c>
      <c r="C64" s="13">
        <v>8826.23</v>
      </c>
      <c r="D64" s="13">
        <v>4731.6799999999994</v>
      </c>
    </row>
    <row r="65" spans="1:4">
      <c r="A65" s="149" t="s">
        <v>290</v>
      </c>
      <c r="B65" s="13">
        <v>1369.62</v>
      </c>
      <c r="C65" s="13">
        <v>1212.5899999999999</v>
      </c>
      <c r="D65" s="13">
        <v>124.5</v>
      </c>
    </row>
    <row r="66" spans="1:4">
      <c r="A66" s="149" t="s">
        <v>292</v>
      </c>
      <c r="B66" s="13">
        <v>143.29</v>
      </c>
      <c r="C66" s="13">
        <v>12.74</v>
      </c>
      <c r="D66" s="13">
        <v>0</v>
      </c>
    </row>
    <row r="67" spans="1:4">
      <c r="A67" s="149" t="s">
        <v>294</v>
      </c>
      <c r="B67" s="13">
        <v>43.57</v>
      </c>
      <c r="C67" s="13">
        <v>0</v>
      </c>
      <c r="D67" s="13">
        <v>0</v>
      </c>
    </row>
    <row r="68" spans="1:4">
      <c r="A68" s="149" t="s">
        <v>601</v>
      </c>
      <c r="B68" s="13">
        <v>5765.76</v>
      </c>
      <c r="C68" s="13">
        <v>6526.37</v>
      </c>
      <c r="D68" s="13">
        <v>3723.74</v>
      </c>
    </row>
    <row r="69" spans="1:4">
      <c r="A69" s="149" t="s">
        <v>603</v>
      </c>
      <c r="B69" s="13">
        <v>0</v>
      </c>
      <c r="C69" s="13">
        <v>1074.53</v>
      </c>
      <c r="D69" s="13">
        <v>857.2</v>
      </c>
    </row>
    <row r="70" spans="1:4">
      <c r="A70" s="149" t="s">
        <v>605</v>
      </c>
      <c r="B70" s="13">
        <v>0</v>
      </c>
      <c r="C70" s="13">
        <v>0</v>
      </c>
      <c r="D70" s="13">
        <v>26.24</v>
      </c>
    </row>
    <row r="71" spans="1:4">
      <c r="A71" s="12" t="s">
        <v>224</v>
      </c>
      <c r="B71" s="13">
        <v>155359.29999999999</v>
      </c>
      <c r="C71" s="13">
        <v>173899.05</v>
      </c>
      <c r="D71" s="13">
        <v>152647.97999999998</v>
      </c>
    </row>
    <row r="72" spans="1:4">
      <c r="A72" s="148" t="s">
        <v>199</v>
      </c>
      <c r="B72" s="13">
        <v>155359.29999999999</v>
      </c>
      <c r="C72" s="13">
        <v>173899.05</v>
      </c>
      <c r="D72" s="13">
        <v>152647.97999999998</v>
      </c>
    </row>
    <row r="73" spans="1:4">
      <c r="A73" s="149" t="s">
        <v>470</v>
      </c>
      <c r="B73" s="13">
        <v>81098.27</v>
      </c>
      <c r="C73" s="13">
        <v>53289.9</v>
      </c>
      <c r="D73" s="13">
        <v>60321.45</v>
      </c>
    </row>
    <row r="74" spans="1:4">
      <c r="A74" s="149" t="s">
        <v>474</v>
      </c>
      <c r="B74" s="13">
        <v>2439.62</v>
      </c>
      <c r="C74" s="13">
        <v>8028.19</v>
      </c>
      <c r="D74" s="13">
        <v>3373.15</v>
      </c>
    </row>
    <row r="75" spans="1:4">
      <c r="A75" s="149" t="s">
        <v>478</v>
      </c>
      <c r="B75" s="13">
        <v>1024.4100000000001</v>
      </c>
      <c r="C75" s="13">
        <v>1978.02</v>
      </c>
      <c r="D75" s="13">
        <v>4203.2299999999996</v>
      </c>
    </row>
    <row r="76" spans="1:4">
      <c r="A76" s="149" t="s">
        <v>482</v>
      </c>
      <c r="B76" s="13">
        <v>0</v>
      </c>
      <c r="C76" s="13">
        <v>0</v>
      </c>
      <c r="D76" s="13">
        <v>800</v>
      </c>
    </row>
    <row r="77" spans="1:4">
      <c r="A77" s="149" t="s">
        <v>484</v>
      </c>
      <c r="B77" s="13">
        <v>372</v>
      </c>
      <c r="C77" s="13">
        <v>207</v>
      </c>
      <c r="D77" s="13">
        <v>0</v>
      </c>
    </row>
    <row r="78" spans="1:4">
      <c r="A78" s="149" t="s">
        <v>496</v>
      </c>
      <c r="B78" s="13">
        <v>110</v>
      </c>
      <c r="C78" s="13">
        <v>27.54</v>
      </c>
      <c r="D78" s="13">
        <v>200.4</v>
      </c>
    </row>
    <row r="79" spans="1:4">
      <c r="A79" s="149" t="s">
        <v>498</v>
      </c>
      <c r="B79" s="13">
        <v>70315</v>
      </c>
      <c r="C79" s="13">
        <v>110368.4</v>
      </c>
      <c r="D79" s="13">
        <v>83661.25</v>
      </c>
    </row>
    <row r="80" spans="1:4">
      <c r="A80" s="149" t="s">
        <v>520</v>
      </c>
      <c r="B80" s="13">
        <v>0</v>
      </c>
      <c r="C80" s="13">
        <v>0</v>
      </c>
      <c r="D80" s="13">
        <v>88.5</v>
      </c>
    </row>
    <row r="81" spans="1:4">
      <c r="A81" s="12" t="s">
        <v>222</v>
      </c>
      <c r="B81" s="13">
        <v>533792.34</v>
      </c>
      <c r="C81" s="13">
        <v>803264.10999999987</v>
      </c>
      <c r="D81" s="13">
        <v>515245.10999999993</v>
      </c>
    </row>
    <row r="82" spans="1:4">
      <c r="A82" s="148" t="s">
        <v>231</v>
      </c>
      <c r="B82" s="13">
        <v>22305.77</v>
      </c>
      <c r="C82" s="13">
        <v>117220.81</v>
      </c>
      <c r="D82" s="13">
        <v>18479.22</v>
      </c>
    </row>
    <row r="83" spans="1:4">
      <c r="A83" s="149" t="s">
        <v>465</v>
      </c>
      <c r="B83" s="13">
        <v>21612.28</v>
      </c>
      <c r="C83" s="13">
        <v>116575</v>
      </c>
      <c r="D83" s="13">
        <v>11275</v>
      </c>
    </row>
    <row r="84" spans="1:4">
      <c r="A84" s="149" t="s">
        <v>583</v>
      </c>
      <c r="B84" s="13">
        <v>693.49</v>
      </c>
      <c r="C84" s="13">
        <v>645.80999999999995</v>
      </c>
      <c r="D84" s="13">
        <v>7204.22</v>
      </c>
    </row>
    <row r="85" spans="1:4">
      <c r="A85" s="148" t="s">
        <v>203</v>
      </c>
      <c r="B85" s="13">
        <v>384816.31</v>
      </c>
      <c r="C85" s="13">
        <v>643614.43999999994</v>
      </c>
      <c r="D85" s="13">
        <v>438078.74</v>
      </c>
    </row>
    <row r="86" spans="1:4">
      <c r="A86" s="149" t="s">
        <v>24</v>
      </c>
      <c r="B86" s="13">
        <v>382216.31</v>
      </c>
      <c r="C86" s="13">
        <v>643614.43999999994</v>
      </c>
      <c r="D86" s="13">
        <v>438078.74</v>
      </c>
    </row>
    <row r="87" spans="1:4">
      <c r="A87" s="149" t="s">
        <v>613</v>
      </c>
      <c r="B87" s="13">
        <v>2600</v>
      </c>
      <c r="C87" s="13">
        <v>0</v>
      </c>
      <c r="D87" s="13">
        <v>0</v>
      </c>
    </row>
    <row r="88" spans="1:4">
      <c r="A88" s="148" t="s">
        <v>234</v>
      </c>
      <c r="B88" s="13">
        <v>117220.81</v>
      </c>
      <c r="C88" s="13">
        <v>14877.11</v>
      </c>
      <c r="D88" s="13">
        <v>24450</v>
      </c>
    </row>
    <row r="89" spans="1:4">
      <c r="A89" s="149" t="s">
        <v>633</v>
      </c>
      <c r="B89" s="13">
        <v>116575</v>
      </c>
      <c r="C89" s="13">
        <v>11275</v>
      </c>
      <c r="D89" s="13">
        <v>24450</v>
      </c>
    </row>
    <row r="90" spans="1:4">
      <c r="A90" s="149" t="s">
        <v>649</v>
      </c>
      <c r="B90" s="13">
        <v>645.80999999999995</v>
      </c>
      <c r="C90" s="13">
        <v>3602.11</v>
      </c>
      <c r="D90" s="13">
        <v>0</v>
      </c>
    </row>
    <row r="91" spans="1:4">
      <c r="A91" s="148" t="s">
        <v>207</v>
      </c>
      <c r="B91" s="13">
        <v>4212.4399999999996</v>
      </c>
      <c r="C91" s="13">
        <v>17294.2</v>
      </c>
      <c r="D91" s="13">
        <v>286.10000000000002</v>
      </c>
    </row>
    <row r="92" spans="1:4">
      <c r="A92" s="149" t="s">
        <v>15</v>
      </c>
      <c r="B92" s="13">
        <v>4212.4399999999996</v>
      </c>
      <c r="C92" s="13">
        <v>17294.2</v>
      </c>
      <c r="D92" s="13">
        <v>286.10000000000002</v>
      </c>
    </row>
    <row r="93" spans="1:4">
      <c r="A93" s="148" t="s">
        <v>208</v>
      </c>
      <c r="B93" s="13">
        <v>5237.0099999999993</v>
      </c>
      <c r="C93" s="13">
        <v>10257.549999999999</v>
      </c>
      <c r="D93" s="13">
        <v>33951.050000000003</v>
      </c>
    </row>
    <row r="94" spans="1:4">
      <c r="A94" s="149" t="s">
        <v>12</v>
      </c>
      <c r="B94" s="13">
        <v>253.53</v>
      </c>
      <c r="C94" s="13">
        <v>534.07000000000005</v>
      </c>
      <c r="D94" s="13">
        <v>0</v>
      </c>
    </row>
    <row r="95" spans="1:4">
      <c r="A95" s="149" t="s">
        <v>645</v>
      </c>
      <c r="B95" s="13">
        <v>4983.4799999999996</v>
      </c>
      <c r="C95" s="13">
        <v>9723.48</v>
      </c>
      <c r="D95" s="13">
        <v>33951.050000000003</v>
      </c>
    </row>
    <row r="96" spans="1:4">
      <c r="A96" s="12" t="s">
        <v>223</v>
      </c>
      <c r="B96" s="13">
        <v>8727.8700000000008</v>
      </c>
      <c r="C96" s="13">
        <v>10041.030000000001</v>
      </c>
      <c r="D96" s="13">
        <v>0</v>
      </c>
    </row>
    <row r="97" spans="1:4">
      <c r="A97" s="148" t="s">
        <v>204</v>
      </c>
      <c r="B97" s="13">
        <v>8727.8700000000008</v>
      </c>
      <c r="C97" s="13">
        <v>10041.030000000001</v>
      </c>
      <c r="D97" s="13">
        <v>0</v>
      </c>
    </row>
    <row r="98" spans="1:4">
      <c r="A98" s="149" t="s">
        <v>611</v>
      </c>
      <c r="B98" s="13">
        <v>8727.8700000000008</v>
      </c>
      <c r="C98" s="13">
        <v>10041.030000000001</v>
      </c>
      <c r="D98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B62C-1237-4107-BDFA-8CD899312E80}">
  <sheetPr>
    <tabColor rgb="FF92D050"/>
    <pageSetUpPr fitToPage="1"/>
  </sheetPr>
  <dimension ref="B1:Z54"/>
  <sheetViews>
    <sheetView tabSelected="1" zoomScale="110" zoomScaleNormal="110" workbookViewId="0">
      <pane xSplit="4" ySplit="10" topLeftCell="E11" activePane="bottomRight" state="frozen"/>
      <selection pane="topRight" activeCell="E1" sqref="E1"/>
      <selection pane="bottomLeft" activeCell="A10" sqref="A10"/>
      <selection pane="bottomRight" activeCell="D5" sqref="D5"/>
    </sheetView>
  </sheetViews>
  <sheetFormatPr defaultColWidth="9.140625" defaultRowHeight="14.25"/>
  <cols>
    <col min="1" max="1" width="2.140625" style="1" customWidth="1"/>
    <col min="2" max="2" width="4.7109375" style="1" customWidth="1"/>
    <col min="3" max="3" width="5.85546875" style="1" customWidth="1"/>
    <col min="4" max="4" width="51.7109375" style="1" customWidth="1"/>
    <col min="5" max="5" width="15.85546875" style="1" customWidth="1"/>
    <col min="6" max="6" width="5.85546875" style="1" bestFit="1" customWidth="1"/>
    <col min="7" max="7" width="15.85546875" style="1" customWidth="1"/>
    <col min="8" max="8" width="6" style="1" customWidth="1"/>
    <col min="9" max="9" width="15.85546875" style="2" customWidth="1"/>
    <col min="10" max="10" width="5.85546875" style="1" bestFit="1" customWidth="1"/>
    <col min="11" max="11" width="7.7109375" style="1" customWidth="1"/>
    <col min="12" max="12" width="6" style="1" customWidth="1"/>
    <col min="13" max="13" width="13" style="1" bestFit="1" customWidth="1"/>
    <col min="14" max="14" width="13.28515625" style="1" bestFit="1" customWidth="1"/>
    <col min="15" max="16" width="11.5703125" style="1" customWidth="1"/>
    <col min="17" max="17" width="12.7109375" style="1" customWidth="1"/>
    <col min="18" max="19" width="11.5703125" style="1" hidden="1" customWidth="1"/>
    <col min="20" max="20" width="11.85546875" style="1" customWidth="1"/>
    <col min="21" max="22" width="11.5703125" style="1" hidden="1" customWidth="1"/>
    <col min="23" max="23" width="11.5703125" style="1" bestFit="1" customWidth="1"/>
    <col min="24" max="25" width="11.5703125" style="1" hidden="1" customWidth="1"/>
    <col min="26" max="26" width="11.7109375" style="1" customWidth="1"/>
    <col min="27" max="16384" width="9.140625" style="1"/>
  </cols>
  <sheetData>
    <row r="1" spans="2:26" ht="15" thickBot="1"/>
    <row r="2" spans="2:26" ht="16.5" thickBot="1">
      <c r="D2" s="109" t="str">
        <f>EXP_comp!B2</f>
        <v>F.LLI BERTI SRL</v>
      </c>
    </row>
    <row r="3" spans="2:26" ht="15">
      <c r="D3" s="138" t="s">
        <v>301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spans="2:26" ht="15">
      <c r="D4" s="138" t="s">
        <v>300</v>
      </c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spans="2:26" ht="13.5" customHeight="1" thickBot="1">
      <c r="D5" s="139" t="s">
        <v>723</v>
      </c>
      <c r="E5" s="112" t="str">
        <f>Tab_RIEP!B3</f>
        <v>Somma di 2023</v>
      </c>
      <c r="F5" s="111"/>
      <c r="G5" s="112" t="str">
        <f>Tab_RIEP!C3</f>
        <v>Somma di 2024</v>
      </c>
      <c r="H5" s="111"/>
      <c r="I5" s="112" t="str">
        <f>Tab_RIEP!D3</f>
        <v>Somma di 2025</v>
      </c>
      <c r="M5" s="127" t="s">
        <v>299</v>
      </c>
      <c r="N5" s="114">
        <v>1</v>
      </c>
      <c r="P5" s="115"/>
      <c r="Q5" s="115"/>
      <c r="R5" s="115"/>
      <c r="S5" s="115"/>
      <c r="U5" s="115"/>
      <c r="V5" s="115"/>
      <c r="X5" s="115"/>
      <c r="Y5" s="115"/>
    </row>
    <row r="6" spans="2:26" ht="30" customHeight="1" thickBot="1">
      <c r="B6" s="14" t="s">
        <v>220</v>
      </c>
      <c r="C6" s="14" t="s">
        <v>221</v>
      </c>
      <c r="E6" s="109">
        <v>2023</v>
      </c>
      <c r="F6"/>
      <c r="G6" s="109">
        <v>2024</v>
      </c>
      <c r="H6"/>
      <c r="I6" s="109">
        <v>2025</v>
      </c>
      <c r="J6"/>
      <c r="K6" s="15" t="s">
        <v>238</v>
      </c>
      <c r="L6"/>
      <c r="M6" s="101" t="s">
        <v>227</v>
      </c>
      <c r="N6" s="125" t="s">
        <v>298</v>
      </c>
      <c r="O6" s="102">
        <v>46053</v>
      </c>
      <c r="P6" s="102">
        <v>46081</v>
      </c>
      <c r="Q6" s="136">
        <v>46112</v>
      </c>
      <c r="R6" s="102">
        <v>46142</v>
      </c>
      <c r="S6" s="102">
        <v>46173</v>
      </c>
      <c r="T6" s="137">
        <v>46203</v>
      </c>
      <c r="U6" s="102">
        <v>46234</v>
      </c>
      <c r="V6" s="102">
        <v>46265</v>
      </c>
      <c r="W6" s="137">
        <v>46295</v>
      </c>
      <c r="X6" s="102">
        <v>46326</v>
      </c>
      <c r="Y6" s="102">
        <v>46356</v>
      </c>
      <c r="Z6" s="137">
        <v>46387</v>
      </c>
    </row>
    <row r="7" spans="2:26" ht="15">
      <c r="D7" s="16" t="s">
        <v>0</v>
      </c>
      <c r="E7" s="17"/>
      <c r="F7" s="18"/>
      <c r="G7" s="17"/>
      <c r="H7" s="18"/>
      <c r="I7" s="17"/>
      <c r="J7" s="18"/>
      <c r="K7"/>
      <c r="L7"/>
      <c r="M7" s="19"/>
      <c r="N7" s="122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spans="2:26" ht="15" customHeight="1">
      <c r="B8" s="110" t="s">
        <v>222</v>
      </c>
      <c r="C8" s="110" t="s">
        <v>203</v>
      </c>
      <c r="D8" s="20" t="s">
        <v>0</v>
      </c>
      <c r="E8" s="21">
        <f>IFERROR(GETPIVOTDATA(""&amp;E$5&amp;"",Tab_RIEP!$A$3,"M",$B8,"sM",$C8),0)</f>
        <v>384816.31</v>
      </c>
      <c r="F8" s="22"/>
      <c r="G8" s="21">
        <f>IFERROR(GETPIVOTDATA(""&amp;G$5&amp;"",Tab_RIEP!$A$3,"M",$B8,"sM",$C8),0)</f>
        <v>643614.43999999994</v>
      </c>
      <c r="H8" s="22"/>
      <c r="I8" s="21">
        <f>IFERROR(GETPIVOTDATA(""&amp;I$5&amp;"",Tab_RIEP!$A$3,"M",$B8,"sM",$C8),0)</f>
        <v>438078.74</v>
      </c>
      <c r="J8" s="22"/>
      <c r="K8"/>
      <c r="L8"/>
      <c r="M8" s="23">
        <f>ROUND(I8,-3)</f>
        <v>438000</v>
      </c>
      <c r="N8" s="120">
        <f>SUM(O8:Z8)/$N$5*12</f>
        <v>322536</v>
      </c>
      <c r="O8" s="124">
        <v>26878</v>
      </c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spans="2:26" ht="15" customHeight="1" thickBot="1">
      <c r="B9" s="110"/>
      <c r="C9" s="110"/>
      <c r="D9" s="25"/>
      <c r="E9" s="26"/>
      <c r="F9" s="27"/>
      <c r="G9" s="26"/>
      <c r="H9" s="27"/>
      <c r="I9" s="26"/>
      <c r="J9" s="27"/>
      <c r="K9"/>
      <c r="L9"/>
      <c r="M9" s="23"/>
      <c r="N9" s="120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2:26" ht="15" customHeight="1" thickBot="1">
      <c r="B10" s="110"/>
      <c r="C10" s="110"/>
      <c r="D10" s="30" t="s">
        <v>5</v>
      </c>
      <c r="E10" s="31">
        <f>E8</f>
        <v>384816.31</v>
      </c>
      <c r="F10" s="32">
        <v>1</v>
      </c>
      <c r="G10" s="31">
        <f>G8</f>
        <v>643614.43999999994</v>
      </c>
      <c r="H10" s="32">
        <v>1</v>
      </c>
      <c r="I10" s="31">
        <f>I8</f>
        <v>438078.74</v>
      </c>
      <c r="J10" s="32">
        <v>1</v>
      </c>
      <c r="K10" s="104">
        <f>AVERAGE(F10,H10,J10)</f>
        <v>1</v>
      </c>
      <c r="L10" s="33"/>
      <c r="M10" s="34">
        <f t="shared" ref="M10:Z10" si="0">M8</f>
        <v>438000</v>
      </c>
      <c r="N10" s="35">
        <f t="shared" si="0"/>
        <v>322536</v>
      </c>
      <c r="O10" s="36">
        <f t="shared" ref="O10:P10" si="1">O8</f>
        <v>26878</v>
      </c>
      <c r="P10" s="36">
        <f t="shared" si="1"/>
        <v>0</v>
      </c>
      <c r="Q10" s="36">
        <f t="shared" si="0"/>
        <v>0</v>
      </c>
      <c r="R10" s="36">
        <f t="shared" si="0"/>
        <v>0</v>
      </c>
      <c r="S10" s="36">
        <f t="shared" si="0"/>
        <v>0</v>
      </c>
      <c r="T10" s="37">
        <f t="shared" si="0"/>
        <v>0</v>
      </c>
      <c r="U10" s="36">
        <f t="shared" ref="U10:V10" si="2">U8</f>
        <v>0</v>
      </c>
      <c r="V10" s="36">
        <f t="shared" si="2"/>
        <v>0</v>
      </c>
      <c r="W10" s="37">
        <f t="shared" si="0"/>
        <v>0</v>
      </c>
      <c r="X10" s="36">
        <f t="shared" si="0"/>
        <v>0</v>
      </c>
      <c r="Y10" s="36">
        <f t="shared" si="0"/>
        <v>0</v>
      </c>
      <c r="Z10" s="37">
        <f t="shared" si="0"/>
        <v>0</v>
      </c>
    </row>
    <row r="11" spans="2:26" ht="15" customHeight="1">
      <c r="B11" s="110"/>
      <c r="C11" s="110"/>
      <c r="D11"/>
      <c r="E11"/>
      <c r="F11"/>
      <c r="G11"/>
      <c r="H11"/>
      <c r="I11"/>
      <c r="J11"/>
      <c r="K11" s="103"/>
      <c r="L11"/>
      <c r="M11" s="105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2:26" ht="15.75" thickBot="1">
      <c r="B12" s="110"/>
      <c r="C12" s="110"/>
      <c r="D12"/>
      <c r="E12" s="38"/>
      <c r="F12" s="39"/>
      <c r="G12" s="38"/>
      <c r="H12" s="39"/>
      <c r="I12" s="38"/>
      <c r="J12" s="39"/>
      <c r="K12" s="103"/>
      <c r="L12"/>
      <c r="M12" s="107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2:26" ht="15">
      <c r="B13" s="110"/>
      <c r="C13" s="110"/>
      <c r="D13" s="40"/>
      <c r="E13" s="41"/>
      <c r="F13" s="18"/>
      <c r="G13" s="41"/>
      <c r="H13" s="18"/>
      <c r="I13" s="41"/>
      <c r="J13" s="18"/>
      <c r="K13" s="103"/>
      <c r="L13"/>
      <c r="M13" s="42"/>
      <c r="N13" s="43"/>
      <c r="O13" s="128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2:26" ht="15">
      <c r="B14" s="110" t="s">
        <v>243</v>
      </c>
      <c r="C14" s="110" t="s">
        <v>199</v>
      </c>
      <c r="D14" s="20" t="s">
        <v>70</v>
      </c>
      <c r="E14" s="21">
        <f>IFERROR(GETPIVOTDATA(""&amp;E$5&amp;"",Tab_RIEP!$A$3,"M",$B14,"sM",$C14),0)</f>
        <v>155359.29999999999</v>
      </c>
      <c r="F14" s="45">
        <f>E14/$E$10</f>
        <v>0.40372327254008539</v>
      </c>
      <c r="G14" s="21">
        <f>IFERROR(GETPIVOTDATA(""&amp;G$5&amp;"",Tab_RIEP!$A$3,"M",$B14,"sM",$C14),0)</f>
        <v>173899.05</v>
      </c>
      <c r="H14" s="45">
        <f>G14/G$10</f>
        <v>0.27019134312772725</v>
      </c>
      <c r="I14" s="21">
        <f>IFERROR(GETPIVOTDATA(""&amp;I$5&amp;"",Tab_RIEP!$A$3,"M",$B14,"sM",$C14),0)</f>
        <v>152647.97999999998</v>
      </c>
      <c r="J14" s="45">
        <f>I14/I$10</f>
        <v>0.34844872864636156</v>
      </c>
      <c r="K14" s="46">
        <f t="shared" ref="K14" si="3">AVERAGE(F14,H14,J14)</f>
        <v>0.34078778143805805</v>
      </c>
      <c r="L14"/>
      <c r="M14" s="23">
        <f>ROUND(I14,-2)</f>
        <v>152600</v>
      </c>
      <c r="N14" s="24">
        <f>SUM(O14:Z14)/$N$5*12</f>
        <v>110400</v>
      </c>
      <c r="O14" s="28">
        <f t="shared" ref="O14:Y14" si="4">ROUND(O$10*$K14,-2)</f>
        <v>9200</v>
      </c>
      <c r="P14" s="29">
        <f t="shared" si="4"/>
        <v>0</v>
      </c>
      <c r="Q14" s="29">
        <f>ROUND(Q$10*$K14,-2)</f>
        <v>0</v>
      </c>
      <c r="R14" s="29">
        <f t="shared" si="4"/>
        <v>0</v>
      </c>
      <c r="S14" s="29">
        <f t="shared" si="4"/>
        <v>0</v>
      </c>
      <c r="T14" s="29">
        <f>ROUND(T$10*$K14,-2)</f>
        <v>0</v>
      </c>
      <c r="U14" s="29">
        <f t="shared" si="4"/>
        <v>0</v>
      </c>
      <c r="V14" s="29">
        <f t="shared" si="4"/>
        <v>0</v>
      </c>
      <c r="W14" s="29">
        <f>ROUND(W$10*$K14,-2)</f>
        <v>0</v>
      </c>
      <c r="X14" s="29">
        <f t="shared" si="4"/>
        <v>0</v>
      </c>
      <c r="Y14" s="29">
        <f t="shared" si="4"/>
        <v>0</v>
      </c>
      <c r="Z14" s="29">
        <f>ROUND(Z$10*$K14,-2)</f>
        <v>0</v>
      </c>
    </row>
    <row r="15" spans="2:26" ht="15">
      <c r="B15" s="110"/>
      <c r="C15" s="110"/>
      <c r="D15" s="20"/>
      <c r="E15" s="21"/>
      <c r="F15" s="53"/>
      <c r="G15" s="21"/>
      <c r="H15" s="53"/>
      <c r="I15" s="21"/>
      <c r="J15" s="53"/>
      <c r="K15" s="103"/>
      <c r="L15"/>
      <c r="M15" s="23"/>
      <c r="N15" s="24"/>
      <c r="O15" s="28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2:26" ht="16.5" hidden="1" thickBot="1">
      <c r="B16" s="110"/>
      <c r="C16" s="110"/>
      <c r="D16" s="47" t="s">
        <v>237</v>
      </c>
      <c r="E16" s="48">
        <f>SUM(E14:E15)</f>
        <v>155359.29999999999</v>
      </c>
      <c r="F16" s="45">
        <f>E16/E$10</f>
        <v>0.40372327254008539</v>
      </c>
      <c r="G16" s="48">
        <f>SUM(G14:G15)</f>
        <v>173899.05</v>
      </c>
      <c r="H16" s="45">
        <f>G16/G$10</f>
        <v>0.27019134312772725</v>
      </c>
      <c r="I16" s="48">
        <f>SUM(I14:I15)</f>
        <v>152647.97999999998</v>
      </c>
      <c r="J16" s="45">
        <f>I16/I$10</f>
        <v>0.34844872864636156</v>
      </c>
      <c r="K16" s="104">
        <f>AVERAGE(F16,H16,J16)</f>
        <v>0.34078778143805805</v>
      </c>
      <c r="L16" s="33"/>
      <c r="M16" s="50">
        <f t="shared" ref="M16:S16" si="5">SUM(M14:M14)</f>
        <v>152600</v>
      </c>
      <c r="N16" s="51">
        <f t="shared" si="5"/>
        <v>110400</v>
      </c>
      <c r="O16" s="129">
        <f t="shared" ref="O16:P16" si="6">SUM(O14:O14)</f>
        <v>9200</v>
      </c>
      <c r="P16" s="52">
        <f t="shared" si="6"/>
        <v>0</v>
      </c>
      <c r="Q16" s="52">
        <f t="shared" si="5"/>
        <v>0</v>
      </c>
      <c r="R16" s="52">
        <f t="shared" si="5"/>
        <v>0</v>
      </c>
      <c r="S16" s="52">
        <f t="shared" si="5"/>
        <v>0</v>
      </c>
      <c r="T16" s="52">
        <f t="shared" ref="T16:V16" si="7">SUM(T14:T14)</f>
        <v>0</v>
      </c>
      <c r="U16" s="52">
        <f t="shared" si="7"/>
        <v>0</v>
      </c>
      <c r="V16" s="52">
        <f t="shared" si="7"/>
        <v>0</v>
      </c>
      <c r="W16" s="52">
        <f t="shared" ref="W16:Y16" si="8">SUM(W14:W14)</f>
        <v>0</v>
      </c>
      <c r="X16" s="52">
        <f t="shared" si="8"/>
        <v>0</v>
      </c>
      <c r="Y16" s="52">
        <f t="shared" si="8"/>
        <v>0</v>
      </c>
      <c r="Z16" s="52">
        <f t="shared" ref="Z16" si="9">SUM(Z14:Z14)</f>
        <v>0</v>
      </c>
    </row>
    <row r="17" spans="2:26" ht="15">
      <c r="B17" s="110"/>
      <c r="C17" s="110"/>
      <c r="D17" s="20"/>
      <c r="E17" s="21"/>
      <c r="F17" s="53"/>
      <c r="G17" s="21"/>
      <c r="H17" s="53"/>
      <c r="I17" s="21"/>
      <c r="J17" s="53"/>
      <c r="K17" s="103"/>
      <c r="L17"/>
      <c r="M17" s="23"/>
      <c r="N17" s="24"/>
      <c r="O17" s="28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2:26" ht="15">
      <c r="B18" s="110" t="s">
        <v>222</v>
      </c>
      <c r="C18" s="110" t="s">
        <v>231</v>
      </c>
      <c r="D18" s="54" t="s">
        <v>233</v>
      </c>
      <c r="E18" s="21">
        <f>IFERROR(GETPIVOTDATA(""&amp;E$5&amp;"",Tab_RIEP!$A$3,"M",$B18,"sM",$C18),0)</f>
        <v>22305.77</v>
      </c>
      <c r="F18" s="45">
        <f t="shared" ref="F18:F19" si="10">E18/$E$10</f>
        <v>5.796472088202291E-2</v>
      </c>
      <c r="G18" s="21">
        <f>IFERROR(GETPIVOTDATA(""&amp;G$5&amp;"",Tab_RIEP!$A$3,"M",$B18,"sM",$C18),0)</f>
        <v>117220.81</v>
      </c>
      <c r="H18" s="45">
        <f>G18/$G$10</f>
        <v>0.18212893110353462</v>
      </c>
      <c r="I18" s="21">
        <f>IFERROR(GETPIVOTDATA(""&amp;I$5&amp;"",Tab_RIEP!$A$3,"M",$B18,"sM",$C18),0)</f>
        <v>18479.22</v>
      </c>
      <c r="J18" s="45">
        <f>I18/$I$10</f>
        <v>4.2182416795665548E-2</v>
      </c>
      <c r="K18" s="46">
        <f t="shared" ref="K18:K19" si="11">AVERAGE(F18,H18,J18)</f>
        <v>9.4092022927074359E-2</v>
      </c>
      <c r="L18"/>
      <c r="M18" s="23">
        <f t="shared" ref="M18:M19" si="12">ROUND(I18,-2)</f>
        <v>18500</v>
      </c>
      <c r="N18" s="24">
        <f t="shared" ref="N18:N19" si="13">SUM(O18:Z18)/$N$5*12</f>
        <v>30000</v>
      </c>
      <c r="O18" s="28">
        <f t="shared" ref="O18:Y19" si="14">ROUND(O$10*$K18,-2)</f>
        <v>2500</v>
      </c>
      <c r="P18" s="29">
        <f t="shared" si="14"/>
        <v>0</v>
      </c>
      <c r="Q18" s="29">
        <f>ROUND(Q$10*$K18,-2)</f>
        <v>0</v>
      </c>
      <c r="R18" s="29">
        <f t="shared" si="14"/>
        <v>0</v>
      </c>
      <c r="S18" s="29">
        <f t="shared" si="14"/>
        <v>0</v>
      </c>
      <c r="T18" s="29">
        <f>ROUND(T$10*$K18,-2)</f>
        <v>0</v>
      </c>
      <c r="U18" s="29">
        <f t="shared" si="14"/>
        <v>0</v>
      </c>
      <c r="V18" s="29">
        <f t="shared" si="14"/>
        <v>0</v>
      </c>
      <c r="W18" s="29">
        <f>ROUND(W$10*$K18,-2)</f>
        <v>0</v>
      </c>
      <c r="X18" s="29">
        <f t="shared" si="14"/>
        <v>0</v>
      </c>
      <c r="Y18" s="29">
        <f t="shared" si="14"/>
        <v>0</v>
      </c>
      <c r="Z18" s="29">
        <f>ROUND(Z$10*$K18,-2)</f>
        <v>0</v>
      </c>
    </row>
    <row r="19" spans="2:26" ht="15">
      <c r="B19" s="110" t="s">
        <v>222</v>
      </c>
      <c r="C19" s="110" t="s">
        <v>234</v>
      </c>
      <c r="D19" s="54" t="s">
        <v>232</v>
      </c>
      <c r="E19" s="21">
        <f>IFERROR(GETPIVOTDATA(""&amp;E$5&amp;"",Tab_RIEP!$A$3,"M",$B19,"sM",$C19),0)</f>
        <v>117220.81</v>
      </c>
      <c r="F19" s="45">
        <f t="shared" si="10"/>
        <v>0.30461497331025289</v>
      </c>
      <c r="G19" s="21">
        <f>IFERROR(GETPIVOTDATA(""&amp;G$5&amp;"",Tab_RIEP!$A$3,"M",$B19,"sM",$C19),0)</f>
        <v>14877.11</v>
      </c>
      <c r="H19" s="45">
        <f>G19/$G$10</f>
        <v>2.3114941299328215E-2</v>
      </c>
      <c r="I19" s="21">
        <f>IFERROR(GETPIVOTDATA(""&amp;I$5&amp;"",Tab_RIEP!$A$3,"M",$B19,"sM",$C19),0)</f>
        <v>24450</v>
      </c>
      <c r="J19" s="45">
        <f>I19/$I$10</f>
        <v>5.581188441146448E-2</v>
      </c>
      <c r="K19" s="46">
        <f t="shared" si="11"/>
        <v>0.12784726634034851</v>
      </c>
      <c r="L19"/>
      <c r="M19" s="23">
        <f t="shared" si="12"/>
        <v>24500</v>
      </c>
      <c r="N19" s="24">
        <f t="shared" si="13"/>
        <v>40800</v>
      </c>
      <c r="O19" s="28">
        <f t="shared" si="14"/>
        <v>3400</v>
      </c>
      <c r="P19" s="29">
        <f t="shared" si="14"/>
        <v>0</v>
      </c>
      <c r="Q19" s="29">
        <f>ROUND(Q$10*$K19,-2)</f>
        <v>0</v>
      </c>
      <c r="R19" s="29">
        <f t="shared" si="14"/>
        <v>0</v>
      </c>
      <c r="S19" s="29">
        <f t="shared" si="14"/>
        <v>0</v>
      </c>
      <c r="T19" s="29">
        <f>ROUND(T$10*$K19,-2)</f>
        <v>0</v>
      </c>
      <c r="U19" s="29">
        <f t="shared" si="14"/>
        <v>0</v>
      </c>
      <c r="V19" s="29">
        <f t="shared" si="14"/>
        <v>0</v>
      </c>
      <c r="W19" s="29">
        <f>ROUND(W$10*$K19,-2)</f>
        <v>0</v>
      </c>
      <c r="X19" s="29">
        <f t="shared" si="14"/>
        <v>0</v>
      </c>
      <c r="Y19" s="29">
        <f t="shared" si="14"/>
        <v>0</v>
      </c>
      <c r="Z19" s="29">
        <f>ROUND(Z$10*$K19,-2)</f>
        <v>0</v>
      </c>
    </row>
    <row r="20" spans="2:26" ht="16.5" hidden="1" thickBot="1">
      <c r="B20" s="110"/>
      <c r="C20" s="110"/>
      <c r="D20" s="55" t="s">
        <v>236</v>
      </c>
      <c r="E20" s="56">
        <f>E18-E19</f>
        <v>-94915.04</v>
      </c>
      <c r="F20" s="57">
        <f>E20/$E$10</f>
        <v>-0.24665025242822997</v>
      </c>
      <c r="G20" s="56">
        <f>G18-G19</f>
        <v>102343.7</v>
      </c>
      <c r="H20" s="57">
        <f>G20/G$10</f>
        <v>0.15901398980420639</v>
      </c>
      <c r="I20" s="56">
        <f>I18-I19</f>
        <v>-5970.7799999999988</v>
      </c>
      <c r="J20" s="57">
        <f>I20/I$10</f>
        <v>-1.3629467615798928E-2</v>
      </c>
      <c r="K20" s="104">
        <f>K18-K19</f>
        <v>-3.3755243413274155E-2</v>
      </c>
      <c r="L20" s="33"/>
      <c r="M20" s="58">
        <f t="shared" ref="M20:S20" si="15">M18-M19</f>
        <v>-6000</v>
      </c>
      <c r="N20" s="59">
        <f t="shared" si="15"/>
        <v>-10800</v>
      </c>
      <c r="O20" s="130">
        <f t="shared" ref="O20:P20" si="16">O18-O19</f>
        <v>-900</v>
      </c>
      <c r="P20" s="60">
        <f t="shared" si="16"/>
        <v>0</v>
      </c>
      <c r="Q20" s="60">
        <f t="shared" si="15"/>
        <v>0</v>
      </c>
      <c r="R20" s="60">
        <f t="shared" si="15"/>
        <v>0</v>
      </c>
      <c r="S20" s="60">
        <f t="shared" si="15"/>
        <v>0</v>
      </c>
      <c r="T20" s="60">
        <f t="shared" ref="T20:V20" si="17">T18-T19</f>
        <v>0</v>
      </c>
      <c r="U20" s="60">
        <f t="shared" si="17"/>
        <v>0</v>
      </c>
      <c r="V20" s="60">
        <f t="shared" si="17"/>
        <v>0</v>
      </c>
      <c r="W20" s="60">
        <f t="shared" ref="W20:Y20" si="18">W18-W19</f>
        <v>0</v>
      </c>
      <c r="X20" s="60">
        <f t="shared" si="18"/>
        <v>0</v>
      </c>
      <c r="Y20" s="60">
        <f t="shared" si="18"/>
        <v>0</v>
      </c>
      <c r="Z20" s="60">
        <f t="shared" ref="Z20" si="19">Z18-Z19</f>
        <v>0</v>
      </c>
    </row>
    <row r="21" spans="2:26" ht="15.75" thickBot="1">
      <c r="B21" s="110"/>
      <c r="C21" s="110"/>
      <c r="D21" s="25"/>
      <c r="E21" s="26"/>
      <c r="F21" s="61"/>
      <c r="G21" s="26"/>
      <c r="H21" s="61"/>
      <c r="I21" s="26"/>
      <c r="J21" s="61"/>
      <c r="K21" s="103"/>
      <c r="L21"/>
      <c r="M21" s="23"/>
      <c r="N21" s="24"/>
      <c r="O21" s="28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2:26" ht="16.5" thickBot="1">
      <c r="B22" s="110"/>
      <c r="C22" s="110"/>
      <c r="D22" s="47" t="s">
        <v>228</v>
      </c>
      <c r="E22" s="48">
        <f>E16+E20</f>
        <v>60444.259999999995</v>
      </c>
      <c r="F22" s="49">
        <f>E22/E$10</f>
        <v>0.15707302011185542</v>
      </c>
      <c r="G22" s="48">
        <f>G16+G20</f>
        <v>276242.75</v>
      </c>
      <c r="H22" s="49">
        <f>G22/G$10</f>
        <v>0.42920533293193364</v>
      </c>
      <c r="I22" s="48">
        <f>I16+I20</f>
        <v>146677.19999999998</v>
      </c>
      <c r="J22" s="49">
        <f>I22/I$10</f>
        <v>0.33481926103056264</v>
      </c>
      <c r="K22" s="104">
        <f>AVERAGE(F22,H22,J22)</f>
        <v>0.30703253802478386</v>
      </c>
      <c r="L22" s="33"/>
      <c r="M22" s="50">
        <f t="shared" ref="M22:Z22" si="20">M16+M20</f>
        <v>146600</v>
      </c>
      <c r="N22" s="51">
        <f t="shared" si="20"/>
        <v>99600</v>
      </c>
      <c r="O22" s="129">
        <f t="shared" ref="O22:P22" si="21">O16+O20</f>
        <v>8300</v>
      </c>
      <c r="P22" s="52">
        <f t="shared" si="21"/>
        <v>0</v>
      </c>
      <c r="Q22" s="52">
        <f t="shared" si="20"/>
        <v>0</v>
      </c>
      <c r="R22" s="52">
        <f t="shared" si="20"/>
        <v>0</v>
      </c>
      <c r="S22" s="52">
        <f t="shared" si="20"/>
        <v>0</v>
      </c>
      <c r="T22" s="52">
        <f t="shared" ref="T22:V22" si="22">T16+T20</f>
        <v>0</v>
      </c>
      <c r="U22" s="52">
        <f t="shared" si="22"/>
        <v>0</v>
      </c>
      <c r="V22" s="52">
        <f t="shared" si="22"/>
        <v>0</v>
      </c>
      <c r="W22" s="52">
        <f t="shared" si="20"/>
        <v>0</v>
      </c>
      <c r="X22" s="52">
        <f t="shared" si="20"/>
        <v>0</v>
      </c>
      <c r="Y22" s="52">
        <f t="shared" si="20"/>
        <v>0</v>
      </c>
      <c r="Z22" s="52">
        <f t="shared" si="20"/>
        <v>0</v>
      </c>
    </row>
    <row r="23" spans="2:26" ht="15">
      <c r="B23" s="110"/>
      <c r="C23" s="110"/>
      <c r="D23" s="20"/>
      <c r="E23" s="38"/>
      <c r="F23" s="53"/>
      <c r="G23" s="38"/>
      <c r="H23" s="53"/>
      <c r="I23" s="38"/>
      <c r="J23" s="53"/>
      <c r="K23" s="103"/>
      <c r="L23"/>
      <c r="M23" s="23"/>
      <c r="N23" s="24"/>
      <c r="O23" s="28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2:26" ht="15">
      <c r="B24" s="110"/>
      <c r="C24" s="110"/>
      <c r="D24" s="20"/>
      <c r="E24" s="38"/>
      <c r="F24" s="53"/>
      <c r="G24" s="38"/>
      <c r="H24" s="53"/>
      <c r="I24" s="38"/>
      <c r="J24" s="53"/>
      <c r="K24" s="103"/>
      <c r="L24"/>
      <c r="M24" s="23"/>
      <c r="N24" s="24"/>
      <c r="O24" s="28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2:26" ht="15.75" thickBot="1">
      <c r="B25" s="110"/>
      <c r="C25" s="110"/>
      <c r="D25" s="54"/>
      <c r="E25" s="21"/>
      <c r="F25" s="22"/>
      <c r="G25" s="21"/>
      <c r="H25" s="22"/>
      <c r="I25" s="21"/>
      <c r="J25" s="22"/>
      <c r="K25" s="103"/>
      <c r="L25"/>
      <c r="M25" s="23"/>
      <c r="N25" s="24"/>
      <c r="O25" s="28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2:26" ht="16.5" thickBot="1">
      <c r="B26" s="110"/>
      <c r="C26" s="110"/>
      <c r="D26" s="62" t="s">
        <v>1</v>
      </c>
      <c r="E26" s="63">
        <f>SUM(E25:E25)+E22</f>
        <v>60444.259999999995</v>
      </c>
      <c r="F26" s="64">
        <f>E26/$E$10</f>
        <v>0.15707302011185542</v>
      </c>
      <c r="G26" s="63">
        <f>SUM(G25:G25)+G22</f>
        <v>276242.75</v>
      </c>
      <c r="H26" s="64">
        <f>G26/G$10</f>
        <v>0.42920533293193364</v>
      </c>
      <c r="I26" s="63">
        <f>SUM(I25:I25)+I22</f>
        <v>146677.19999999998</v>
      </c>
      <c r="J26" s="64">
        <f>I26/I$10</f>
        <v>0.33481926103056264</v>
      </c>
      <c r="K26" s="104">
        <f>AVERAGE(F26,H26,J26)</f>
        <v>0.30703253802478386</v>
      </c>
      <c r="L26" s="33"/>
      <c r="M26" s="65">
        <f t="shared" ref="M26:Z26" si="23">SUM(M25:M25)+M22</f>
        <v>146600</v>
      </c>
      <c r="N26" s="66">
        <f t="shared" si="23"/>
        <v>99600</v>
      </c>
      <c r="O26" s="131">
        <f t="shared" ref="O26:P26" si="24">SUM(O25:O25)+O22</f>
        <v>8300</v>
      </c>
      <c r="P26" s="67">
        <f t="shared" si="24"/>
        <v>0</v>
      </c>
      <c r="Q26" s="67">
        <f t="shared" si="23"/>
        <v>0</v>
      </c>
      <c r="R26" s="67">
        <f t="shared" si="23"/>
        <v>0</v>
      </c>
      <c r="S26" s="67">
        <f t="shared" si="23"/>
        <v>0</v>
      </c>
      <c r="T26" s="67">
        <f t="shared" ref="T26" si="25">SUM(T25:T25)+T22</f>
        <v>0</v>
      </c>
      <c r="U26" s="67">
        <f t="shared" ref="U26:V26" si="26">SUM(U25:U25)+U22</f>
        <v>0</v>
      </c>
      <c r="V26" s="67">
        <f t="shared" si="26"/>
        <v>0</v>
      </c>
      <c r="W26" s="67">
        <f t="shared" si="23"/>
        <v>0</v>
      </c>
      <c r="X26" s="67">
        <f t="shared" si="23"/>
        <v>0</v>
      </c>
      <c r="Y26" s="67">
        <f t="shared" si="23"/>
        <v>0</v>
      </c>
      <c r="Z26" s="67">
        <f t="shared" si="23"/>
        <v>0</v>
      </c>
    </row>
    <row r="27" spans="2:26" ht="15.75" thickBot="1">
      <c r="B27" s="110"/>
      <c r="C27" s="110"/>
      <c r="D27" s="68"/>
      <c r="E27" s="69"/>
      <c r="F27" s="53"/>
      <c r="G27" s="69"/>
      <c r="H27" s="53"/>
      <c r="I27" s="69"/>
      <c r="J27" s="53"/>
      <c r="K27" s="103"/>
      <c r="L27"/>
      <c r="M27" s="70"/>
      <c r="N27" s="71"/>
      <c r="O27" s="13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spans="2:26" ht="16.5" thickBot="1">
      <c r="B28" s="110"/>
      <c r="C28" s="110"/>
      <c r="D28" s="73" t="s">
        <v>195</v>
      </c>
      <c r="E28" s="74">
        <f>E10-E26</f>
        <v>324372.05</v>
      </c>
      <c r="F28" s="75">
        <f>E28/$E$10</f>
        <v>0.84292697988814458</v>
      </c>
      <c r="G28" s="74">
        <f>G10-G26</f>
        <v>367371.68999999994</v>
      </c>
      <c r="H28" s="75">
        <f>G28/G$10</f>
        <v>0.57079466706806636</v>
      </c>
      <c r="I28" s="74">
        <f>I10-I26</f>
        <v>291401.54000000004</v>
      </c>
      <c r="J28" s="75">
        <f>I28/I$10</f>
        <v>0.66518073896943741</v>
      </c>
      <c r="K28" s="104">
        <f>AVERAGE(F28,H28,J28)</f>
        <v>0.69296746197521619</v>
      </c>
      <c r="L28" s="33"/>
      <c r="M28" s="76">
        <f t="shared" ref="M28:Z28" si="27">M10-M26</f>
        <v>291400</v>
      </c>
      <c r="N28" s="77">
        <f t="shared" si="27"/>
        <v>222936</v>
      </c>
      <c r="O28" s="78">
        <f t="shared" ref="O28:P28" si="28">O10-O26</f>
        <v>18578</v>
      </c>
      <c r="P28" s="79">
        <f t="shared" si="28"/>
        <v>0</v>
      </c>
      <c r="Q28" s="79">
        <f t="shared" si="27"/>
        <v>0</v>
      </c>
      <c r="R28" s="79">
        <f t="shared" si="27"/>
        <v>0</v>
      </c>
      <c r="S28" s="79">
        <f t="shared" si="27"/>
        <v>0</v>
      </c>
      <c r="T28" s="79">
        <f t="shared" ref="T28:V28" si="29">T10-T26</f>
        <v>0</v>
      </c>
      <c r="U28" s="79">
        <f t="shared" si="29"/>
        <v>0</v>
      </c>
      <c r="V28" s="79">
        <f t="shared" si="29"/>
        <v>0</v>
      </c>
      <c r="W28" s="79">
        <f t="shared" si="27"/>
        <v>0</v>
      </c>
      <c r="X28" s="79">
        <f t="shared" si="27"/>
        <v>0</v>
      </c>
      <c r="Y28" s="79">
        <f t="shared" si="27"/>
        <v>0</v>
      </c>
      <c r="Z28" s="79">
        <f t="shared" si="27"/>
        <v>0</v>
      </c>
    </row>
    <row r="29" spans="2:26" ht="15">
      <c r="B29" s="110"/>
      <c r="C29" s="110"/>
      <c r="D29" s="68"/>
      <c r="E29" s="69"/>
      <c r="F29" s="53"/>
      <c r="G29" s="69"/>
      <c r="H29" s="53"/>
      <c r="I29" s="69"/>
      <c r="J29" s="53"/>
      <c r="K29" s="103"/>
      <c r="L29"/>
      <c r="M29" s="70"/>
      <c r="N29" s="71"/>
      <c r="O29" s="13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spans="2:26" ht="15">
      <c r="B30" s="110" t="s">
        <v>244</v>
      </c>
      <c r="C30" s="110" t="s">
        <v>197</v>
      </c>
      <c r="D30" s="20" t="s">
        <v>60</v>
      </c>
      <c r="E30" s="21">
        <f>IFERROR(GETPIVOTDATA(""&amp;E$5&amp;"",Tab_RIEP!$A$3,"M",$B30,"sM",$C30),0)</f>
        <v>35174.54</v>
      </c>
      <c r="F30" s="80">
        <f t="shared" ref="F30:F36" si="30">E30/$E$10</f>
        <v>9.1406052929513301E-2</v>
      </c>
      <c r="G30" s="21">
        <f>IFERROR(GETPIVOTDATA(""&amp;G$5&amp;"",Tab_RIEP!$A$3,"M",$B30,"sM",$C30),0)</f>
        <v>55153.44999999999</v>
      </c>
      <c r="H30" s="80">
        <f t="shared" ref="H30:H34" si="31">G30/G$10</f>
        <v>8.56933073161006E-2</v>
      </c>
      <c r="I30" s="21">
        <f>IFERROR(GETPIVOTDATA(""&amp;I$5&amp;"",Tab_RIEP!$A$3,"M",$B30,"sM",$C30),0)</f>
        <v>33885.630000000005</v>
      </c>
      <c r="J30" s="80">
        <f t="shared" ref="J30:J34" si="32">I30/I$10</f>
        <v>7.7350546616345744E-2</v>
      </c>
      <c r="K30" s="46">
        <f t="shared" ref="K30:K35" si="33">AVERAGE(F30,H30,J30)</f>
        <v>8.4816635620653225E-2</v>
      </c>
      <c r="L30"/>
      <c r="M30" s="23">
        <f t="shared" ref="M30:M35" si="34">ROUND(I30,-2)</f>
        <v>33900</v>
      </c>
      <c r="N30" s="24">
        <f t="shared" ref="N30:N35" si="35">SUM(O30:Z30)/$N$5*12</f>
        <v>33600</v>
      </c>
      <c r="O30" s="28">
        <f>IF(O$10&gt;0,ROUND($M30/12,-2),0)</f>
        <v>2800</v>
      </c>
      <c r="P30" s="29">
        <f>IF(P$10&gt;0,ROUND($M30/12,-2),0)</f>
        <v>0</v>
      </c>
      <c r="Q30" s="29">
        <f t="shared" ref="Q30:Q35" si="36">IF(AND(P$10&gt;0,Q$10&gt;0),ROUND($M30/12,-2),IF(Q$10&gt;0,ROUND($M30/4,-2),0))</f>
        <v>0</v>
      </c>
      <c r="R30" s="29">
        <f>IF(R$10&gt;0,ROUND($M30/12,-2),0)</f>
        <v>0</v>
      </c>
      <c r="S30" s="29">
        <f>IF(S$10&gt;0,ROUND($M30/12,-2),0)</f>
        <v>0</v>
      </c>
      <c r="T30" s="29">
        <f t="shared" ref="T30:T35" si="37">IF(AND(S$10&gt;0,T$10&gt;0),ROUND($M30/12,-2),IF(T$10&gt;0,ROUND($M30/4,-2),0))</f>
        <v>0</v>
      </c>
      <c r="U30" s="29">
        <f>IF(U$10&gt;0,ROUND($M30/12,-2),0)</f>
        <v>0</v>
      </c>
      <c r="V30" s="29">
        <f>IF(V$10&gt;0,ROUND($M30/12,-2),0)</f>
        <v>0</v>
      </c>
      <c r="W30" s="29">
        <f t="shared" ref="W30:W35" si="38">IF(AND(V$10&gt;0,W$10&gt;0),ROUND($M30/12,-2),IF(W$10&gt;0,ROUND($M30/4,-2),0))</f>
        <v>0</v>
      </c>
      <c r="X30" s="29">
        <f>IF(X$10&gt;0,ROUND($M30/12,-2),0)</f>
        <v>0</v>
      </c>
      <c r="Y30" s="29">
        <f>IF(Y$10&gt;0,ROUND($M30/12,-2),0)</f>
        <v>0</v>
      </c>
      <c r="Z30" s="29">
        <f t="shared" ref="Z30:Z35" si="39">IF(AND(Y$10&gt;0,Z$10&gt;0),ROUND($M30/12,-2),IF(Z$10&gt;0,ROUND($M30/4,-2),0))</f>
        <v>0</v>
      </c>
    </row>
    <row r="31" spans="2:26" ht="15">
      <c r="B31" s="110" t="s">
        <v>244</v>
      </c>
      <c r="C31" s="110" t="s">
        <v>198</v>
      </c>
      <c r="D31" s="81" t="s">
        <v>59</v>
      </c>
      <c r="E31" s="21">
        <f>IFERROR(GETPIVOTDATA(""&amp;E$5&amp;"",Tab_RIEP!$A$3,"M",$B31,"sM",$C31),0)</f>
        <v>47708.5</v>
      </c>
      <c r="F31" s="80">
        <f t="shared" si="30"/>
        <v>0.12397733349711711</v>
      </c>
      <c r="G31" s="21">
        <f>IFERROR(GETPIVOTDATA(""&amp;G$5&amp;"",Tab_RIEP!$A$3,"M",$B31,"sM",$C31),0)</f>
        <v>40199.51</v>
      </c>
      <c r="H31" s="80">
        <f t="shared" si="31"/>
        <v>6.2458993306613822E-2</v>
      </c>
      <c r="I31" s="21">
        <f>IFERROR(GETPIVOTDATA(""&amp;I$5&amp;"",Tab_RIEP!$A$3,"M",$B31,"sM",$C31),0)</f>
        <v>40933.29</v>
      </c>
      <c r="J31" s="80">
        <f t="shared" si="32"/>
        <v>9.3438202456480768E-2</v>
      </c>
      <c r="K31" s="46">
        <f t="shared" si="33"/>
        <v>9.3291509753403903E-2</v>
      </c>
      <c r="L31"/>
      <c r="M31" s="23">
        <f t="shared" si="34"/>
        <v>40900</v>
      </c>
      <c r="N31" s="24">
        <f t="shared" si="35"/>
        <v>40800</v>
      </c>
      <c r="O31" s="28">
        <f t="shared" ref="O31:Y35" si="40">IF(O$10&gt;0,ROUND($M31/12,-2),0)</f>
        <v>3400</v>
      </c>
      <c r="P31" s="29">
        <f t="shared" si="40"/>
        <v>0</v>
      </c>
      <c r="Q31" s="29">
        <f t="shared" si="36"/>
        <v>0</v>
      </c>
      <c r="R31" s="29">
        <f t="shared" si="40"/>
        <v>0</v>
      </c>
      <c r="S31" s="29">
        <f t="shared" si="40"/>
        <v>0</v>
      </c>
      <c r="T31" s="29">
        <f t="shared" si="37"/>
        <v>0</v>
      </c>
      <c r="U31" s="29">
        <f t="shared" si="40"/>
        <v>0</v>
      </c>
      <c r="V31" s="29">
        <f t="shared" si="40"/>
        <v>0</v>
      </c>
      <c r="W31" s="29">
        <f t="shared" si="38"/>
        <v>0</v>
      </c>
      <c r="X31" s="29">
        <f t="shared" si="40"/>
        <v>0</v>
      </c>
      <c r="Y31" s="29">
        <f t="shared" si="40"/>
        <v>0</v>
      </c>
      <c r="Z31" s="29">
        <f t="shared" si="39"/>
        <v>0</v>
      </c>
    </row>
    <row r="32" spans="2:26" ht="15">
      <c r="B32" s="110" t="s">
        <v>244</v>
      </c>
      <c r="C32" s="110" t="s">
        <v>200</v>
      </c>
      <c r="D32" s="20" t="s">
        <v>58</v>
      </c>
      <c r="E32" s="21">
        <f>IFERROR(GETPIVOTDATA(""&amp;E$5&amp;"",Tab_RIEP!$A$3,"M",$B32,"sM",$C32),0)</f>
        <v>47368</v>
      </c>
      <c r="F32" s="80">
        <f t="shared" si="30"/>
        <v>0.12309249574166958</v>
      </c>
      <c r="G32" s="21">
        <f>IFERROR(GETPIVOTDATA(""&amp;G$5&amp;"",Tab_RIEP!$A$3,"M",$B32,"sM",$C32),0)</f>
        <v>50980.59</v>
      </c>
      <c r="H32" s="80">
        <f t="shared" si="31"/>
        <v>7.9209829412777003E-2</v>
      </c>
      <c r="I32" s="21">
        <f>IFERROR(GETPIVOTDATA(""&amp;I$5&amp;"",Tab_RIEP!$A$3,"M",$B32,"sM",$C32),0)</f>
        <v>43946.259999999995</v>
      </c>
      <c r="J32" s="80">
        <f t="shared" si="32"/>
        <v>0.10031589298307422</v>
      </c>
      <c r="K32" s="46">
        <f t="shared" si="33"/>
        <v>0.10087273937917358</v>
      </c>
      <c r="L32"/>
      <c r="M32" s="23">
        <f t="shared" si="34"/>
        <v>43900</v>
      </c>
      <c r="N32" s="24">
        <f t="shared" si="35"/>
        <v>44400</v>
      </c>
      <c r="O32" s="28">
        <f t="shared" si="40"/>
        <v>3700</v>
      </c>
      <c r="P32" s="29">
        <f t="shared" si="40"/>
        <v>0</v>
      </c>
      <c r="Q32" s="29">
        <f t="shared" si="36"/>
        <v>0</v>
      </c>
      <c r="R32" s="29">
        <f t="shared" si="40"/>
        <v>0</v>
      </c>
      <c r="S32" s="29">
        <f t="shared" si="40"/>
        <v>0</v>
      </c>
      <c r="T32" s="29">
        <f t="shared" si="37"/>
        <v>0</v>
      </c>
      <c r="U32" s="29">
        <f t="shared" si="40"/>
        <v>0</v>
      </c>
      <c r="V32" s="29">
        <f t="shared" si="40"/>
        <v>0</v>
      </c>
      <c r="W32" s="29">
        <f t="shared" si="38"/>
        <v>0</v>
      </c>
      <c r="X32" s="29">
        <f t="shared" si="40"/>
        <v>0</v>
      </c>
      <c r="Y32" s="29">
        <f t="shared" si="40"/>
        <v>0</v>
      </c>
      <c r="Z32" s="29">
        <f t="shared" si="39"/>
        <v>0</v>
      </c>
    </row>
    <row r="33" spans="2:26" ht="15">
      <c r="B33" s="110" t="s">
        <v>244</v>
      </c>
      <c r="C33" s="110" t="s">
        <v>201</v>
      </c>
      <c r="D33" s="20" t="s">
        <v>235</v>
      </c>
      <c r="E33" s="21">
        <f>IFERROR(GETPIVOTDATA(""&amp;E$5&amp;"",Tab_RIEP!$A$3,"M",$B33,"sM",$C33),0)</f>
        <v>15395.95</v>
      </c>
      <c r="F33" s="80">
        <f t="shared" si="30"/>
        <v>4.0008569283354965E-2</v>
      </c>
      <c r="G33" s="21">
        <f>IFERROR(GETPIVOTDATA(""&amp;G$5&amp;"",Tab_RIEP!$A$3,"M",$B33,"sM",$C33),0)</f>
        <v>29506.2</v>
      </c>
      <c r="H33" s="80">
        <f t="shared" si="31"/>
        <v>4.5844527664730461E-2</v>
      </c>
      <c r="I33" s="21">
        <f>IFERROR(GETPIVOTDATA(""&amp;I$5&amp;"",Tab_RIEP!$A$3,"M",$B33,"sM",$C33),0)</f>
        <v>32821.1</v>
      </c>
      <c r="J33" s="80">
        <f t="shared" si="32"/>
        <v>7.492054967104772E-2</v>
      </c>
      <c r="K33" s="46">
        <f t="shared" si="33"/>
        <v>5.3591215539711051E-2</v>
      </c>
      <c r="L33"/>
      <c r="M33" s="23">
        <f t="shared" si="34"/>
        <v>32800</v>
      </c>
      <c r="N33" s="24">
        <f t="shared" si="35"/>
        <v>32400</v>
      </c>
      <c r="O33" s="28">
        <f t="shared" si="40"/>
        <v>2700</v>
      </c>
      <c r="P33" s="29">
        <f t="shared" si="40"/>
        <v>0</v>
      </c>
      <c r="Q33" s="29">
        <f>IF(AND(P$10&gt;0,Q$10&gt;0),ROUND($M33/12,-2),IF(Q$10&gt;0,ROUND($M33/4,-2),0))</f>
        <v>0</v>
      </c>
      <c r="R33" s="29">
        <f t="shared" si="40"/>
        <v>0</v>
      </c>
      <c r="S33" s="29">
        <f t="shared" si="40"/>
        <v>0</v>
      </c>
      <c r="T33" s="29">
        <f>IF(AND(S$10&gt;0,T$10&gt;0),ROUND($M33/12,-2),IF(T$10&gt;0,ROUND($M33/4,-2),0))</f>
        <v>0</v>
      </c>
      <c r="U33" s="29">
        <f t="shared" si="40"/>
        <v>0</v>
      </c>
      <c r="V33" s="29">
        <f t="shared" si="40"/>
        <v>0</v>
      </c>
      <c r="W33" s="29">
        <f>IF(AND(V$10&gt;0,W$10&gt;0),ROUND($M33/12,-2),IF(W$10&gt;0,ROUND($M33/4,-2),0))</f>
        <v>0</v>
      </c>
      <c r="X33" s="29">
        <f t="shared" si="40"/>
        <v>0</v>
      </c>
      <c r="Y33" s="29">
        <f t="shared" si="40"/>
        <v>0</v>
      </c>
      <c r="Z33" s="29">
        <f>IF(AND(Y$10&gt;0,Z$10&gt;0),ROUND($M33/12,-2),IF(Z$10&gt;0,ROUND($M33/4,-2),0))</f>
        <v>0</v>
      </c>
    </row>
    <row r="34" spans="2:26" ht="15">
      <c r="B34" s="110" t="s">
        <v>244</v>
      </c>
      <c r="C34" s="110" t="s">
        <v>202</v>
      </c>
      <c r="D34" s="20" t="s">
        <v>38</v>
      </c>
      <c r="E34" s="21">
        <f>IFERROR(GETPIVOTDATA(""&amp;E$5&amp;"",Tab_RIEP!$A$3,"M",$B34,"sM",$C34),0)</f>
        <v>28745.77</v>
      </c>
      <c r="F34" s="80">
        <f t="shared" si="30"/>
        <v>7.4699978283145022E-2</v>
      </c>
      <c r="G34" s="21">
        <f>IFERROR(GETPIVOTDATA(""&amp;G$5&amp;"",Tab_RIEP!$A$3,"M",$B34,"sM",$C34),0)</f>
        <v>19935.309999999994</v>
      </c>
      <c r="H34" s="80">
        <f t="shared" si="31"/>
        <v>3.0973994306280631E-2</v>
      </c>
      <c r="I34" s="21">
        <f>IFERROR(GETPIVOTDATA(""&amp;I$5&amp;"",Tab_RIEP!$A$3,"M",$B34,"sM",$C34),0)</f>
        <v>29303.83</v>
      </c>
      <c r="J34" s="80">
        <f t="shared" si="32"/>
        <v>6.6891696227942957E-2</v>
      </c>
      <c r="K34" s="46">
        <f t="shared" si="33"/>
        <v>5.7521889605789543E-2</v>
      </c>
      <c r="L34"/>
      <c r="M34" s="23">
        <f t="shared" si="34"/>
        <v>29300</v>
      </c>
      <c r="N34" s="24">
        <f t="shared" si="35"/>
        <v>28800</v>
      </c>
      <c r="O34" s="28">
        <f t="shared" si="40"/>
        <v>2400</v>
      </c>
      <c r="P34" s="29">
        <f t="shared" si="40"/>
        <v>0</v>
      </c>
      <c r="Q34" s="29">
        <f t="shared" si="36"/>
        <v>0</v>
      </c>
      <c r="R34" s="29">
        <f t="shared" si="40"/>
        <v>0</v>
      </c>
      <c r="S34" s="29">
        <f t="shared" si="40"/>
        <v>0</v>
      </c>
      <c r="T34" s="29">
        <f t="shared" si="37"/>
        <v>0</v>
      </c>
      <c r="U34" s="29">
        <f t="shared" si="40"/>
        <v>0</v>
      </c>
      <c r="V34" s="29">
        <f t="shared" si="40"/>
        <v>0</v>
      </c>
      <c r="W34" s="29">
        <f t="shared" si="38"/>
        <v>0</v>
      </c>
      <c r="X34" s="29">
        <f t="shared" si="40"/>
        <v>0</v>
      </c>
      <c r="Y34" s="29">
        <f t="shared" si="40"/>
        <v>0</v>
      </c>
      <c r="Z34" s="29">
        <f t="shared" si="39"/>
        <v>0</v>
      </c>
    </row>
    <row r="35" spans="2:26" ht="15.75" thickBot="1">
      <c r="B35" s="110" t="s">
        <v>244</v>
      </c>
      <c r="C35" s="110" t="s">
        <v>205</v>
      </c>
      <c r="D35" s="81" t="s">
        <v>33</v>
      </c>
      <c r="E35" s="21">
        <f>IFERROR(GETPIVOTDATA(""&amp;E$5&amp;"",Tab_RIEP!$A$3,"M",$B35,"sM",$C35),0)</f>
        <v>7322.24</v>
      </c>
      <c r="F35" s="80">
        <f>E35/$E$10</f>
        <v>1.9027883719377695E-2</v>
      </c>
      <c r="G35" s="21">
        <f>IFERROR(GETPIVOTDATA(""&amp;G$5&amp;"",Tab_RIEP!$A$3,"M",$B35,"sM",$C35),0)</f>
        <v>8826.23</v>
      </c>
      <c r="H35" s="80">
        <f>G35/$G$10</f>
        <v>1.371353632152815E-2</v>
      </c>
      <c r="I35" s="21">
        <f>IFERROR(GETPIVOTDATA(""&amp;I$5&amp;"",Tab_RIEP!$A$3,"M",$B35,"sM",$C35),0)</f>
        <v>4731.6799999999994</v>
      </c>
      <c r="J35" s="80">
        <f>I35/$I$10</f>
        <v>1.0800980663887044E-2</v>
      </c>
      <c r="K35" s="46">
        <f t="shared" si="33"/>
        <v>1.4514133568264295E-2</v>
      </c>
      <c r="L35"/>
      <c r="M35" s="23">
        <f t="shared" si="34"/>
        <v>4700</v>
      </c>
      <c r="N35" s="24">
        <f t="shared" si="35"/>
        <v>4800</v>
      </c>
      <c r="O35" s="28">
        <f t="shared" si="40"/>
        <v>400</v>
      </c>
      <c r="P35" s="29">
        <f t="shared" si="40"/>
        <v>0</v>
      </c>
      <c r="Q35" s="29">
        <f t="shared" si="36"/>
        <v>0</v>
      </c>
      <c r="R35" s="29">
        <f t="shared" si="40"/>
        <v>0</v>
      </c>
      <c r="S35" s="29">
        <f t="shared" si="40"/>
        <v>0</v>
      </c>
      <c r="T35" s="29">
        <f t="shared" si="37"/>
        <v>0</v>
      </c>
      <c r="U35" s="29">
        <f t="shared" si="40"/>
        <v>0</v>
      </c>
      <c r="V35" s="29">
        <f t="shared" si="40"/>
        <v>0</v>
      </c>
      <c r="W35" s="29">
        <f t="shared" si="38"/>
        <v>0</v>
      </c>
      <c r="X35" s="29">
        <f t="shared" si="40"/>
        <v>0</v>
      </c>
      <c r="Y35" s="29">
        <f t="shared" si="40"/>
        <v>0</v>
      </c>
      <c r="Z35" s="29">
        <f t="shared" si="39"/>
        <v>0</v>
      </c>
    </row>
    <row r="36" spans="2:26" ht="16.5" thickBot="1">
      <c r="B36" s="110"/>
      <c r="C36" s="110"/>
      <c r="D36" s="47" t="s">
        <v>6</v>
      </c>
      <c r="E36" s="48">
        <f>SUM(E30:E35)</f>
        <v>181715</v>
      </c>
      <c r="F36" s="49">
        <f t="shared" si="30"/>
        <v>0.47221231345417763</v>
      </c>
      <c r="G36" s="48">
        <f>SUM(G30:G35)</f>
        <v>204601.29</v>
      </c>
      <c r="H36" s="49">
        <f>G36/G$10</f>
        <v>0.31789418832803074</v>
      </c>
      <c r="I36" s="48">
        <f>SUM(I30:I35)</f>
        <v>185621.78999999998</v>
      </c>
      <c r="J36" s="49">
        <f>I36/I$10</f>
        <v>0.42371786861877841</v>
      </c>
      <c r="K36" s="104">
        <f>AVERAGE(F36,H36,J36)</f>
        <v>0.4046081234669956</v>
      </c>
      <c r="L36" s="33"/>
      <c r="M36" s="50">
        <f t="shared" ref="M36:Z36" si="41">SUM(M30:M35)</f>
        <v>185500</v>
      </c>
      <c r="N36" s="51">
        <f t="shared" si="41"/>
        <v>184800</v>
      </c>
      <c r="O36" s="129">
        <f t="shared" ref="O36:P36" si="42">SUM(O30:O35)</f>
        <v>15400</v>
      </c>
      <c r="P36" s="52">
        <f t="shared" si="42"/>
        <v>0</v>
      </c>
      <c r="Q36" s="52">
        <f t="shared" si="41"/>
        <v>0</v>
      </c>
      <c r="R36" s="52">
        <f t="shared" si="41"/>
        <v>0</v>
      </c>
      <c r="S36" s="52">
        <f t="shared" si="41"/>
        <v>0</v>
      </c>
      <c r="T36" s="52">
        <f t="shared" ref="T36:V36" si="43">SUM(T30:T35)</f>
        <v>0</v>
      </c>
      <c r="U36" s="52">
        <f t="shared" si="43"/>
        <v>0</v>
      </c>
      <c r="V36" s="52">
        <f t="shared" si="43"/>
        <v>0</v>
      </c>
      <c r="W36" s="52">
        <f t="shared" si="41"/>
        <v>0</v>
      </c>
      <c r="X36" s="52">
        <f t="shared" si="41"/>
        <v>0</v>
      </c>
      <c r="Y36" s="52">
        <f t="shared" si="41"/>
        <v>0</v>
      </c>
      <c r="Z36" s="52">
        <f t="shared" si="41"/>
        <v>0</v>
      </c>
    </row>
    <row r="37" spans="2:26" ht="15">
      <c r="B37" s="110"/>
      <c r="C37" s="110"/>
      <c r="D37" s="82"/>
      <c r="E37" s="41"/>
      <c r="F37" s="18"/>
      <c r="G37" s="41"/>
      <c r="H37" s="18"/>
      <c r="I37" s="41"/>
      <c r="J37" s="18"/>
      <c r="K37" s="103"/>
      <c r="L37"/>
      <c r="M37" s="42"/>
      <c r="N37" s="43"/>
      <c r="O37" s="128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2:26" ht="15">
      <c r="B38" s="110"/>
      <c r="C38" s="110"/>
      <c r="D38" s="20"/>
      <c r="E38" s="21"/>
      <c r="F38" s="22"/>
      <c r="G38" s="21"/>
      <c r="H38" s="22"/>
      <c r="I38" s="21"/>
      <c r="J38" s="22"/>
      <c r="K38" s="103"/>
      <c r="L38"/>
      <c r="M38" s="23"/>
      <c r="N38" s="24"/>
      <c r="O38" s="28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2:26" ht="15.75" thickBot="1">
      <c r="B39" s="110"/>
      <c r="C39" s="110"/>
      <c r="D39" s="25"/>
      <c r="E39" s="83"/>
      <c r="F39" s="27"/>
      <c r="G39" s="83"/>
      <c r="H39" s="27"/>
      <c r="I39" s="83"/>
      <c r="J39" s="27"/>
      <c r="K39" s="103"/>
      <c r="L39"/>
      <c r="M39" s="84"/>
      <c r="N39" s="85"/>
      <c r="O39" s="133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2:26" ht="16.5" thickBot="1">
      <c r="B40" s="110"/>
      <c r="C40" s="110"/>
      <c r="D40" s="87" t="s">
        <v>2</v>
      </c>
      <c r="E40" s="88">
        <f>E36</f>
        <v>181715</v>
      </c>
      <c r="F40" s="89">
        <f>E40/$E$10</f>
        <v>0.47221231345417763</v>
      </c>
      <c r="G40" s="88">
        <f>G36</f>
        <v>204601.29</v>
      </c>
      <c r="H40" s="89">
        <f>G40/G$10</f>
        <v>0.31789418832803074</v>
      </c>
      <c r="I40" s="88">
        <f>I36</f>
        <v>185621.78999999998</v>
      </c>
      <c r="J40" s="89">
        <f>I40/I$10</f>
        <v>0.42371786861877841</v>
      </c>
      <c r="K40" s="104">
        <f>AVERAGE(F40,H40,J40)</f>
        <v>0.4046081234669956</v>
      </c>
      <c r="L40" s="33"/>
      <c r="M40" s="90">
        <f t="shared" ref="M40:Z40" si="44">M36</f>
        <v>185500</v>
      </c>
      <c r="N40" s="91">
        <f t="shared" si="44"/>
        <v>184800</v>
      </c>
      <c r="O40" s="134">
        <f t="shared" ref="O40:P40" si="45">O36</f>
        <v>15400</v>
      </c>
      <c r="P40" s="92">
        <f t="shared" si="45"/>
        <v>0</v>
      </c>
      <c r="Q40" s="92">
        <f t="shared" si="44"/>
        <v>0</v>
      </c>
      <c r="R40" s="92">
        <f t="shared" si="44"/>
        <v>0</v>
      </c>
      <c r="S40" s="92">
        <f t="shared" si="44"/>
        <v>0</v>
      </c>
      <c r="T40" s="92">
        <f t="shared" ref="T40:V40" si="46">T36</f>
        <v>0</v>
      </c>
      <c r="U40" s="92">
        <f t="shared" si="46"/>
        <v>0</v>
      </c>
      <c r="V40" s="92">
        <f t="shared" si="46"/>
        <v>0</v>
      </c>
      <c r="W40" s="92">
        <f t="shared" si="44"/>
        <v>0</v>
      </c>
      <c r="X40" s="92">
        <f t="shared" si="44"/>
        <v>0</v>
      </c>
      <c r="Y40" s="92">
        <f t="shared" si="44"/>
        <v>0</v>
      </c>
      <c r="Z40" s="92">
        <f t="shared" si="44"/>
        <v>0</v>
      </c>
    </row>
    <row r="41" spans="2:26" ht="15.75" thickBot="1">
      <c r="B41" s="110"/>
      <c r="C41" s="110"/>
      <c r="D41" s="20"/>
      <c r="E41" s="38"/>
      <c r="F41" s="22"/>
      <c r="G41" s="38"/>
      <c r="H41" s="22"/>
      <c r="I41" s="38"/>
      <c r="J41" s="22"/>
      <c r="K41" s="103"/>
      <c r="L41"/>
      <c r="M41" s="23"/>
      <c r="N41" s="24"/>
      <c r="O41" s="28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2:26" ht="16.5" thickBot="1">
      <c r="B42" s="110"/>
      <c r="C42" s="110"/>
      <c r="D42" s="93" t="s">
        <v>3</v>
      </c>
      <c r="E42" s="94">
        <f>E26+E40</f>
        <v>242159.26</v>
      </c>
      <c r="F42" s="95">
        <f>E42/$E$10</f>
        <v>0.62928533356603311</v>
      </c>
      <c r="G42" s="94">
        <f>G26+G40</f>
        <v>480844.04000000004</v>
      </c>
      <c r="H42" s="95">
        <f>G42/G$10</f>
        <v>0.74709952125996437</v>
      </c>
      <c r="I42" s="94">
        <f>I26+I40</f>
        <v>332298.99</v>
      </c>
      <c r="J42" s="95">
        <f>I42/I$10</f>
        <v>0.75853712964934117</v>
      </c>
      <c r="K42" s="104">
        <f>AVERAGE(F42,H42,J42)</f>
        <v>0.71164066149177951</v>
      </c>
      <c r="L42" s="33"/>
      <c r="M42" s="96">
        <f t="shared" ref="M42:Z42" si="47">M26+M40</f>
        <v>332100</v>
      </c>
      <c r="N42" s="97">
        <f t="shared" si="47"/>
        <v>284400</v>
      </c>
      <c r="O42" s="135">
        <f t="shared" ref="O42:P42" si="48">O26+O40</f>
        <v>23700</v>
      </c>
      <c r="P42" s="98">
        <f t="shared" si="48"/>
        <v>0</v>
      </c>
      <c r="Q42" s="98">
        <f t="shared" si="47"/>
        <v>0</v>
      </c>
      <c r="R42" s="98">
        <f t="shared" si="47"/>
        <v>0</v>
      </c>
      <c r="S42" s="98">
        <f t="shared" si="47"/>
        <v>0</v>
      </c>
      <c r="T42" s="98">
        <f t="shared" ref="T42:V42" si="49">T26+T40</f>
        <v>0</v>
      </c>
      <c r="U42" s="98">
        <f t="shared" si="49"/>
        <v>0</v>
      </c>
      <c r="V42" s="98">
        <f t="shared" si="49"/>
        <v>0</v>
      </c>
      <c r="W42" s="98">
        <f t="shared" si="47"/>
        <v>0</v>
      </c>
      <c r="X42" s="98">
        <f t="shared" si="47"/>
        <v>0</v>
      </c>
      <c r="Y42" s="98">
        <f t="shared" si="47"/>
        <v>0</v>
      </c>
      <c r="Z42" s="98">
        <f t="shared" si="47"/>
        <v>0</v>
      </c>
    </row>
    <row r="43" spans="2:26" ht="15">
      <c r="B43" s="110"/>
      <c r="C43" s="110"/>
      <c r="D43" s="20"/>
      <c r="E43" s="38"/>
      <c r="F43" s="80"/>
      <c r="G43" s="38"/>
      <c r="H43" s="80"/>
      <c r="I43" s="38"/>
      <c r="J43" s="80"/>
      <c r="K43" s="103"/>
      <c r="L43"/>
      <c r="M43" s="23"/>
      <c r="N43" s="24"/>
      <c r="O43" s="28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2:26" ht="15">
      <c r="B44" s="110" t="s">
        <v>244</v>
      </c>
      <c r="C44" s="110" t="s">
        <v>206</v>
      </c>
      <c r="D44" s="20" t="s">
        <v>32</v>
      </c>
      <c r="E44" s="21">
        <f>IFERROR(GETPIVOTDATA(""&amp;E$5&amp;"",Tab_RIEP!$A$3,"M",$B44,"sM",$C44),0)</f>
        <v>0</v>
      </c>
      <c r="F44" s="80">
        <f t="shared" ref="F44:F46" si="50">E44/$E$10</f>
        <v>0</v>
      </c>
      <c r="G44" s="21">
        <f>IFERROR(GETPIVOTDATA(""&amp;G$5&amp;"",Tab_RIEP!$A$3,"M",$B44,"sM",$C44),0)</f>
        <v>0</v>
      </c>
      <c r="H44" s="80">
        <f>G44/G$10</f>
        <v>0</v>
      </c>
      <c r="I44" s="21">
        <f>IFERROR(GETPIVOTDATA(""&amp;I$5&amp;"",Tab_RIEP!$A$3,"M",$B44,"sM",$C44),0)</f>
        <v>0</v>
      </c>
      <c r="J44" s="80">
        <f>I44/I$10</f>
        <v>0</v>
      </c>
      <c r="K44" s="46">
        <f t="shared" ref="K44:K46" si="51">AVERAGE(F44,H44,J44)</f>
        <v>0</v>
      </c>
      <c r="L44"/>
      <c r="M44" s="23">
        <v>1000</v>
      </c>
      <c r="N44" s="24">
        <f t="shared" ref="N44:N46" si="52">SUM(O44:Z44)/$N$5*12</f>
        <v>1200</v>
      </c>
      <c r="O44" s="28">
        <f t="shared" ref="O44:Y46" si="53">IF(O$10&gt;0,ROUND($M44/12,-2),0)</f>
        <v>100</v>
      </c>
      <c r="P44" s="29">
        <f>IF(P$10&gt;0,ROUND($M44/12,-2),0)</f>
        <v>0</v>
      </c>
      <c r="Q44" s="29">
        <f t="shared" ref="Q44:Q46" si="54">IF(AND(P$10&gt;0,Q$10&gt;0),ROUND($M44/12,-2),IF(Q$10&gt;0,ROUND($M44/4,-2),0))</f>
        <v>0</v>
      </c>
      <c r="R44" s="29">
        <f>IF(R$10&gt;0,ROUND($M44/12,-2),0)</f>
        <v>0</v>
      </c>
      <c r="S44" s="29">
        <f>IF(S$10&gt;0,ROUND($M44/12,-2),0)</f>
        <v>0</v>
      </c>
      <c r="T44" s="29">
        <f t="shared" ref="T44:T46" si="55">IF(AND(S$10&gt;0,T$10&gt;0),ROUND($M44/12,-2),IF(T$10&gt;0,ROUND($M44/4,-2),0))</f>
        <v>0</v>
      </c>
      <c r="U44" s="29">
        <f>IF(U$10&gt;0,ROUND($M44/12,-2),0)</f>
        <v>0</v>
      </c>
      <c r="V44" s="29">
        <f>IF(V$10&gt;0,ROUND($M44/12,-2),0)</f>
        <v>0</v>
      </c>
      <c r="W44" s="29">
        <f t="shared" ref="W44:W46" si="56">IF(AND(V$10&gt;0,W$10&gt;0),ROUND($M44/12,-2),IF(W$10&gt;0,ROUND($M44/4,-2),0))</f>
        <v>0</v>
      </c>
      <c r="X44" s="29">
        <f>IF(X$10&gt;0,ROUND($M44/12,-2),0)</f>
        <v>0</v>
      </c>
      <c r="Y44" s="29">
        <f>IF(Y$10&gt;0,ROUND($M44/12,-2),0)</f>
        <v>0</v>
      </c>
      <c r="Z44" s="29">
        <f t="shared" ref="Z44:Z46" si="57">IF(AND(Y$10&gt;0,Z$10&gt;0),ROUND($M44/12,-2),IF(Z$10&gt;0,ROUND($M44/4,-2),0))</f>
        <v>0</v>
      </c>
    </row>
    <row r="45" spans="2:26" ht="15">
      <c r="B45" s="110" t="s">
        <v>222</v>
      </c>
      <c r="C45" s="110" t="s">
        <v>207</v>
      </c>
      <c r="D45" s="20" t="s">
        <v>15</v>
      </c>
      <c r="E45" s="21">
        <f>IFERROR(GETPIVOTDATA(""&amp;E$5&amp;"",Tab_RIEP!$A$3,"M",$B45,"sM",$C45),0)</f>
        <v>4212.4399999999996</v>
      </c>
      <c r="F45" s="80">
        <f t="shared" si="50"/>
        <v>1.09466254172023E-2</v>
      </c>
      <c r="G45" s="21">
        <f>IFERROR(GETPIVOTDATA(""&amp;G$5&amp;"",Tab_RIEP!$A$3,"M",$B45,"sM",$C45),0)</f>
        <v>17294.2</v>
      </c>
      <c r="H45" s="80">
        <f>G45/G$10</f>
        <v>2.687043503871666E-2</v>
      </c>
      <c r="I45" s="21">
        <f>IFERROR(GETPIVOTDATA(""&amp;I$5&amp;"",Tab_RIEP!$A$3,"M",$B45,"sM",$C45),0)</f>
        <v>286.10000000000002</v>
      </c>
      <c r="J45" s="80">
        <f>I45/I$10</f>
        <v>6.5307894192719788E-4</v>
      </c>
      <c r="K45" s="46">
        <f t="shared" si="51"/>
        <v>1.2823379799282053E-2</v>
      </c>
      <c r="L45"/>
      <c r="M45" s="23">
        <v>2000</v>
      </c>
      <c r="N45" s="24">
        <f t="shared" si="52"/>
        <v>2400</v>
      </c>
      <c r="O45" s="28">
        <f t="shared" si="53"/>
        <v>200</v>
      </c>
      <c r="P45" s="29">
        <f t="shared" si="53"/>
        <v>0</v>
      </c>
      <c r="Q45" s="29">
        <f t="shared" si="54"/>
        <v>0</v>
      </c>
      <c r="R45" s="29">
        <f t="shared" si="53"/>
        <v>0</v>
      </c>
      <c r="S45" s="29">
        <f t="shared" si="53"/>
        <v>0</v>
      </c>
      <c r="T45" s="29">
        <f t="shared" si="55"/>
        <v>0</v>
      </c>
      <c r="U45" s="29">
        <f t="shared" si="53"/>
        <v>0</v>
      </c>
      <c r="V45" s="29">
        <f t="shared" si="53"/>
        <v>0</v>
      </c>
      <c r="W45" s="29">
        <f t="shared" si="56"/>
        <v>0</v>
      </c>
      <c r="X45" s="29">
        <f t="shared" si="53"/>
        <v>0</v>
      </c>
      <c r="Y45" s="29">
        <f t="shared" si="53"/>
        <v>0</v>
      </c>
      <c r="Z45" s="29">
        <f t="shared" si="57"/>
        <v>0</v>
      </c>
    </row>
    <row r="46" spans="2:26" ht="15.75" thickBot="1">
      <c r="B46" s="110" t="s">
        <v>222</v>
      </c>
      <c r="C46" s="110" t="s">
        <v>208</v>
      </c>
      <c r="D46" s="20" t="s">
        <v>8</v>
      </c>
      <c r="E46" s="21">
        <f>IFERROR(GETPIVOTDATA(""&amp;E$5&amp;"",Tab_RIEP!$A$3,"M",$B46,"sM",$C46),0)</f>
        <v>5237.0099999999993</v>
      </c>
      <c r="F46" s="80">
        <f t="shared" si="50"/>
        <v>1.3609116515877404E-2</v>
      </c>
      <c r="G46" s="21">
        <f>IFERROR(GETPIVOTDATA(""&amp;G$5&amp;"",Tab_RIEP!$A$3,"M",$B46,"sM",$C46),0)</f>
        <v>10257.549999999999</v>
      </c>
      <c r="H46" s="80">
        <f>G46/G$10</f>
        <v>1.5937414331474602E-2</v>
      </c>
      <c r="I46" s="21">
        <f>IFERROR(GETPIVOTDATA(""&amp;I$5&amp;"",Tab_RIEP!$A$3,"M",$B46,"sM",$C46),0)</f>
        <v>33951.050000000003</v>
      </c>
      <c r="J46" s="99">
        <f>I46/I$10</f>
        <v>7.7499880500934606E-2</v>
      </c>
      <c r="K46" s="46">
        <f t="shared" si="51"/>
        <v>3.5682137116095539E-2</v>
      </c>
      <c r="L46"/>
      <c r="M46" s="23">
        <v>3000</v>
      </c>
      <c r="N46" s="24">
        <f t="shared" si="52"/>
        <v>3600</v>
      </c>
      <c r="O46" s="28">
        <f t="shared" si="53"/>
        <v>300</v>
      </c>
      <c r="P46" s="29">
        <f t="shared" si="53"/>
        <v>0</v>
      </c>
      <c r="Q46" s="29">
        <f t="shared" si="54"/>
        <v>0</v>
      </c>
      <c r="R46" s="29">
        <f t="shared" si="53"/>
        <v>0</v>
      </c>
      <c r="S46" s="29">
        <f t="shared" si="53"/>
        <v>0</v>
      </c>
      <c r="T46" s="29">
        <f t="shared" si="55"/>
        <v>0</v>
      </c>
      <c r="U46" s="29">
        <f t="shared" si="53"/>
        <v>0</v>
      </c>
      <c r="V46" s="29">
        <f t="shared" si="53"/>
        <v>0</v>
      </c>
      <c r="W46" s="29">
        <f t="shared" si="56"/>
        <v>0</v>
      </c>
      <c r="X46" s="29">
        <f t="shared" si="53"/>
        <v>0</v>
      </c>
      <c r="Y46" s="29">
        <f t="shared" si="53"/>
        <v>0</v>
      </c>
      <c r="Z46" s="29">
        <f t="shared" si="57"/>
        <v>0</v>
      </c>
    </row>
    <row r="47" spans="2:26" ht="16.5" thickBot="1">
      <c r="B47" s="110"/>
      <c r="C47" s="110"/>
      <c r="D47" s="100" t="s">
        <v>196</v>
      </c>
      <c r="E47" s="74">
        <f>E10-E42+SUM(E44:E46)</f>
        <v>152106.5</v>
      </c>
      <c r="F47" s="75">
        <f>E47/$E$10</f>
        <v>0.39527040836704663</v>
      </c>
      <c r="G47" s="74">
        <f>G10-G42+SUM(G44:G46)</f>
        <v>190322.14999999991</v>
      </c>
      <c r="H47" s="75">
        <f>G47/G$10</f>
        <v>0.29570832811022685</v>
      </c>
      <c r="I47" s="74">
        <f>I10-I42+SUM(I44:I46)</f>
        <v>140016.9</v>
      </c>
      <c r="J47" s="75">
        <f>I47/I$10</f>
        <v>0.31961582979352066</v>
      </c>
      <c r="K47" s="104">
        <f>AVERAGE(F47,H47,J47)</f>
        <v>0.33686485542359801</v>
      </c>
      <c r="L47" s="33"/>
      <c r="M47" s="76">
        <f t="shared" ref="M47:Z47" si="58">M10-M42+SUM(M44:M46)</f>
        <v>111900</v>
      </c>
      <c r="N47" s="77">
        <f t="shared" si="58"/>
        <v>45336</v>
      </c>
      <c r="O47" s="78">
        <f t="shared" ref="O47:P47" si="59">O10-O42+SUM(O44:O46)</f>
        <v>3778</v>
      </c>
      <c r="P47" s="79">
        <f t="shared" si="59"/>
        <v>0</v>
      </c>
      <c r="Q47" s="79">
        <f t="shared" si="58"/>
        <v>0</v>
      </c>
      <c r="R47" s="79">
        <f t="shared" si="58"/>
        <v>0</v>
      </c>
      <c r="S47" s="79">
        <f t="shared" si="58"/>
        <v>0</v>
      </c>
      <c r="T47" s="79">
        <f t="shared" si="58"/>
        <v>0</v>
      </c>
      <c r="U47" s="79">
        <f t="shared" ref="U47:V47" si="60">U10-U42+SUM(U44:U46)</f>
        <v>0</v>
      </c>
      <c r="V47" s="79">
        <f t="shared" si="60"/>
        <v>0</v>
      </c>
      <c r="W47" s="79">
        <f t="shared" si="58"/>
        <v>0</v>
      </c>
      <c r="X47" s="79">
        <f t="shared" si="58"/>
        <v>0</v>
      </c>
      <c r="Y47" s="79">
        <f t="shared" si="58"/>
        <v>0</v>
      </c>
      <c r="Z47" s="79">
        <f t="shared" si="58"/>
        <v>0</v>
      </c>
    </row>
    <row r="48" spans="2:26" ht="15">
      <c r="B48" s="110"/>
      <c r="C48" s="110"/>
      <c r="D48" s="20"/>
      <c r="E48" s="38"/>
      <c r="F48" s="53"/>
      <c r="G48" s="38"/>
      <c r="H48" s="53"/>
      <c r="I48" s="38"/>
      <c r="J48" s="53"/>
      <c r="K48" s="103"/>
      <c r="L48"/>
      <c r="M48" s="23"/>
      <c r="N48" s="24"/>
      <c r="O48" s="28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2:26" ht="15">
      <c r="B49" s="110" t="s">
        <v>223</v>
      </c>
      <c r="C49" s="110" t="s">
        <v>204</v>
      </c>
      <c r="D49" s="20" t="s">
        <v>194</v>
      </c>
      <c r="E49" s="21">
        <f>IFERROR(GETPIVOTDATA(""&amp;E$5&amp;"",Tab_RIEP!$A$3,"M",$B49,"sM",$C49),0)</f>
        <v>8727.8700000000008</v>
      </c>
      <c r="F49" s="80">
        <f>E49/$E$10</f>
        <v>2.2680613511417955E-2</v>
      </c>
      <c r="G49" s="21">
        <f>IFERROR(GETPIVOTDATA(""&amp;G$5&amp;"",Tab_RIEP!$A$3,"M",$B49,"sM",$C49),0)</f>
        <v>10041.030000000001</v>
      </c>
      <c r="H49" s="80">
        <f>G49/G$10</f>
        <v>1.5601001742596082E-2</v>
      </c>
      <c r="I49" s="21">
        <f>IFERROR(GETPIVOTDATA(""&amp;I$5&amp;"",Tab_RIEP!$A$3,"M",$B49,"sM",$C49),0)</f>
        <v>0</v>
      </c>
      <c r="J49" s="80">
        <f>I49/I$10</f>
        <v>0</v>
      </c>
      <c r="K49" s="46">
        <f t="shared" ref="K49" si="61">AVERAGE(F49,H49,J49)</f>
        <v>1.276053841800468E-2</v>
      </c>
      <c r="L49"/>
      <c r="M49" s="23">
        <f>ROUND(I49,-3)</f>
        <v>0</v>
      </c>
      <c r="N49" s="24"/>
      <c r="O49" s="28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2:26" ht="15.75" thickBot="1">
      <c r="B50" s="110"/>
      <c r="C50" s="110"/>
      <c r="D50" s="20"/>
      <c r="E50" s="38"/>
      <c r="F50" s="22"/>
      <c r="G50" s="38"/>
      <c r="H50" s="22"/>
      <c r="I50" s="38"/>
      <c r="J50" s="22"/>
      <c r="K50" s="103"/>
      <c r="L50"/>
      <c r="M50" s="23"/>
      <c r="N50" s="24"/>
      <c r="O50" s="28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2:26" ht="16.5" thickBot="1">
      <c r="B51" s="110"/>
      <c r="C51" s="110"/>
      <c r="D51" s="100" t="s">
        <v>229</v>
      </c>
      <c r="E51" s="74">
        <f>+E47-E49</f>
        <v>143378.63</v>
      </c>
      <c r="F51" s="75">
        <f>E51/$E$10</f>
        <v>0.37258979485562865</v>
      </c>
      <c r="G51" s="74">
        <f>+G47-G49</f>
        <v>180281.11999999991</v>
      </c>
      <c r="H51" s="75">
        <f>G51/G$10</f>
        <v>0.2801073263676308</v>
      </c>
      <c r="I51" s="74">
        <f>+I47-I49</f>
        <v>140016.9</v>
      </c>
      <c r="J51" s="75">
        <f>I51/I$10</f>
        <v>0.31961582979352066</v>
      </c>
      <c r="K51" s="104">
        <f>AVERAGE(F51,H51,J51)</f>
        <v>0.32410431700559339</v>
      </c>
      <c r="L51" s="33"/>
      <c r="M51" s="76">
        <f t="shared" ref="M51:Z51" si="62">+M47-M49</f>
        <v>111900</v>
      </c>
      <c r="N51" s="77">
        <f t="shared" si="62"/>
        <v>45336</v>
      </c>
      <c r="O51" s="78">
        <f t="shared" ref="O51:P51" si="63">+O47-O49</f>
        <v>3778</v>
      </c>
      <c r="P51" s="79">
        <f t="shared" si="63"/>
        <v>0</v>
      </c>
      <c r="Q51" s="79">
        <f t="shared" si="62"/>
        <v>0</v>
      </c>
      <c r="R51" s="79">
        <f t="shared" si="62"/>
        <v>0</v>
      </c>
      <c r="S51" s="79">
        <f t="shared" si="62"/>
        <v>0</v>
      </c>
      <c r="T51" s="79">
        <f t="shared" si="62"/>
        <v>0</v>
      </c>
      <c r="U51" s="79">
        <f t="shared" ref="U51:V51" si="64">+U47-U49</f>
        <v>0</v>
      </c>
      <c r="V51" s="79">
        <f t="shared" si="64"/>
        <v>0</v>
      </c>
      <c r="W51" s="79">
        <f t="shared" si="62"/>
        <v>0</v>
      </c>
      <c r="X51" s="79">
        <f t="shared" si="62"/>
        <v>0</v>
      </c>
      <c r="Y51" s="79">
        <f t="shared" si="62"/>
        <v>0</v>
      </c>
      <c r="Z51" s="79">
        <f t="shared" si="62"/>
        <v>0</v>
      </c>
    </row>
    <row r="52" spans="2:26" ht="15">
      <c r="B52" s="7"/>
      <c r="C52" s="7"/>
      <c r="I52" s="1"/>
    </row>
    <row r="54" spans="2:26">
      <c r="E54" s="8"/>
      <c r="G54" s="8"/>
    </row>
  </sheetData>
  <pageMargins left="0.25" right="0.25" top="0.54" bottom="0.74" header="0.43" footer="0.3"/>
  <pageSetup paperSize="9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D2E9-4F96-40C8-8785-973504F9A63C}">
  <sheetPr>
    <tabColor theme="0" tint="-0.14999847407452621"/>
  </sheetPr>
  <dimension ref="B2:H21"/>
  <sheetViews>
    <sheetView zoomScale="120" zoomScaleNormal="120" workbookViewId="0">
      <selection activeCell="B2" sqref="B2"/>
    </sheetView>
  </sheetViews>
  <sheetFormatPr defaultRowHeight="15"/>
  <sheetData>
    <row r="2" spans="2:8">
      <c r="B2" t="s">
        <v>722</v>
      </c>
    </row>
    <row r="3" spans="2:8">
      <c r="B3" s="9" t="s">
        <v>222</v>
      </c>
      <c r="C3" t="s">
        <v>211</v>
      </c>
    </row>
    <row r="4" spans="2:8">
      <c r="B4" s="9" t="s">
        <v>224</v>
      </c>
      <c r="C4" t="s">
        <v>209</v>
      </c>
    </row>
    <row r="5" spans="2:8">
      <c r="B5" s="9" t="s">
        <v>225</v>
      </c>
      <c r="C5" t="s">
        <v>210</v>
      </c>
    </row>
    <row r="6" spans="2:8">
      <c r="B6" s="9" t="s">
        <v>223</v>
      </c>
      <c r="C6" t="s">
        <v>4</v>
      </c>
    </row>
    <row r="8" spans="2:8">
      <c r="B8" s="9" t="s">
        <v>203</v>
      </c>
      <c r="C8" t="s">
        <v>211</v>
      </c>
    </row>
    <row r="9" spans="2:8">
      <c r="B9" s="9" t="s">
        <v>199</v>
      </c>
      <c r="C9" t="s">
        <v>212</v>
      </c>
      <c r="H9" s="110" t="s">
        <v>199</v>
      </c>
    </row>
    <row r="10" spans="2:8">
      <c r="B10" s="140" t="s">
        <v>231</v>
      </c>
      <c r="C10" t="s">
        <v>302</v>
      </c>
      <c r="H10" s="110" t="s">
        <v>231</v>
      </c>
    </row>
    <row r="11" spans="2:8">
      <c r="B11" s="140" t="s">
        <v>234</v>
      </c>
      <c r="C11" t="s">
        <v>303</v>
      </c>
      <c r="H11" s="110" t="s">
        <v>234</v>
      </c>
    </row>
    <row r="12" spans="2:8">
      <c r="B12" s="9" t="s">
        <v>197</v>
      </c>
      <c r="C12" t="s">
        <v>213</v>
      </c>
      <c r="H12" s="110" t="s">
        <v>197</v>
      </c>
    </row>
    <row r="13" spans="2:8">
      <c r="B13" s="9" t="s">
        <v>198</v>
      </c>
      <c r="C13" t="s">
        <v>214</v>
      </c>
      <c r="H13" s="110" t="s">
        <v>198</v>
      </c>
    </row>
    <row r="14" spans="2:8">
      <c r="B14" s="9" t="s">
        <v>200</v>
      </c>
      <c r="C14" t="s">
        <v>215</v>
      </c>
      <c r="H14" s="110" t="s">
        <v>200</v>
      </c>
    </row>
    <row r="15" spans="2:8">
      <c r="B15" s="9" t="s">
        <v>201</v>
      </c>
      <c r="C15" t="s">
        <v>216</v>
      </c>
      <c r="H15" s="110" t="s">
        <v>201</v>
      </c>
    </row>
    <row r="16" spans="2:8">
      <c r="B16" s="9" t="s">
        <v>202</v>
      </c>
      <c r="C16" t="s">
        <v>245</v>
      </c>
      <c r="H16" s="110" t="s">
        <v>202</v>
      </c>
    </row>
    <row r="17" spans="2:8">
      <c r="B17" s="9" t="s">
        <v>205</v>
      </c>
      <c r="C17" t="s">
        <v>217</v>
      </c>
      <c r="H17" s="110" t="s">
        <v>205</v>
      </c>
    </row>
    <row r="18" spans="2:8">
      <c r="B18" s="9" t="s">
        <v>206</v>
      </c>
      <c r="C18" t="s">
        <v>226</v>
      </c>
      <c r="H18" s="110" t="s">
        <v>206</v>
      </c>
    </row>
    <row r="19" spans="2:8">
      <c r="B19" s="9" t="s">
        <v>207</v>
      </c>
      <c r="C19" t="s">
        <v>218</v>
      </c>
      <c r="H19" s="110" t="s">
        <v>207</v>
      </c>
    </row>
    <row r="20" spans="2:8">
      <c r="B20" s="9" t="s">
        <v>208</v>
      </c>
      <c r="C20" t="s">
        <v>219</v>
      </c>
      <c r="H20" s="110" t="s">
        <v>208</v>
      </c>
    </row>
    <row r="21" spans="2:8">
      <c r="B21" s="9" t="s">
        <v>204</v>
      </c>
      <c r="C21" t="s">
        <v>4</v>
      </c>
      <c r="H21" s="110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EXP_comp</vt:lpstr>
      <vt:lpstr>Tab_RIEP</vt:lpstr>
      <vt:lpstr>PROSP</vt:lpstr>
      <vt:lpstr>Sigle MASTRI</vt:lpstr>
      <vt:lpstr>PROSP!Area_stampa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Termopoli</dc:creator>
  <cp:lastModifiedBy>Sara Valentini</cp:lastModifiedBy>
  <cp:lastPrinted>2026-01-29T14:04:10Z</cp:lastPrinted>
  <dcterms:created xsi:type="dcterms:W3CDTF">2024-06-11T16:03:57Z</dcterms:created>
  <dcterms:modified xsi:type="dcterms:W3CDTF">2026-02-11T09:55:25Z</dcterms:modified>
</cp:coreProperties>
</file>