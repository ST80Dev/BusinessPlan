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Y:\Studio - Adempimenti prospetti procedure\AAA. PROSPETTI STUDIO\PROSPETTI CALCOLO IMPOSTE\"/>
    </mc:Choice>
  </mc:AlternateContent>
  <xr:revisionPtr revIDLastSave="0" documentId="13_ncr:1_{A4B3069A-3513-42B3-BCF5-1D841BE5C4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  <sheet name="Foglio2" sheetId="2" r:id="rId2"/>
    <sheet name="Foglio3" sheetId="3" r:id="rId3"/>
    <sheet name="Foglio4" sheetId="4" r:id="rId4"/>
    <sheet name="Foglio5" sheetId="5" r:id="rId5"/>
    <sheet name="Foglio6" sheetId="6" r:id="rId6"/>
    <sheet name="Foglio7" sheetId="7" r:id="rId7"/>
    <sheet name="Foglio8" sheetId="8" r:id="rId8"/>
    <sheet name="Foglio9" sheetId="9" r:id="rId9"/>
    <sheet name="Foglio10" sheetId="10" r:id="rId10"/>
    <sheet name="Foglio11" sheetId="11" r:id="rId11"/>
    <sheet name="Foglio12" sheetId="12" r:id="rId12"/>
    <sheet name="Foglio13" sheetId="13" r:id="rId13"/>
    <sheet name="Foglio14" sheetId="14" r:id="rId14"/>
    <sheet name="Foglio15" sheetId="15" r:id="rId15"/>
    <sheet name="Foglio16" sheetId="16" r:id="rId16"/>
  </sheets>
  <definedNames>
    <definedName name="_xlnm.Print_Area" localSheetId="0">Foglio1!$A$1:$J$231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7" i="1" l="1"/>
  <c r="F183" i="1"/>
  <c r="I96" i="1" l="1"/>
  <c r="J174" i="1"/>
  <c r="E124" i="1"/>
  <c r="G58" i="1"/>
  <c r="J216" i="1"/>
  <c r="E115" i="1" l="1"/>
  <c r="E123" i="1" s="1"/>
  <c r="F181" i="1"/>
  <c r="F226" i="1" l="1"/>
  <c r="E125" i="1"/>
  <c r="F201" i="1"/>
  <c r="F203" i="1" s="1"/>
  <c r="E126" i="1" l="1"/>
  <c r="F195" i="1"/>
  <c r="E127" i="1" l="1"/>
  <c r="E151" i="1"/>
  <c r="I12" i="1" l="1"/>
  <c r="F171" i="1"/>
  <c r="F184" i="1" s="1"/>
  <c r="F196" i="1" s="1"/>
  <c r="I168" i="1"/>
  <c r="J168" i="1" s="1"/>
  <c r="J170" i="1" s="1"/>
  <c r="J189" i="1"/>
  <c r="J171" i="1" s="1"/>
  <c r="E140" i="1"/>
  <c r="E141" i="1"/>
  <c r="F141" i="1" s="1"/>
  <c r="E142" i="1"/>
  <c r="F142" i="1" s="1"/>
  <c r="E143" i="1"/>
  <c r="F143" i="1" s="1"/>
  <c r="G143" i="1" s="1"/>
  <c r="H143" i="1" s="1"/>
  <c r="E144" i="1"/>
  <c r="J152" i="1"/>
  <c r="F51" i="1"/>
  <c r="G54" i="1"/>
  <c r="E131" i="1"/>
  <c r="E132" i="1"/>
  <c r="E133" i="1"/>
  <c r="E134" i="1"/>
  <c r="E135" i="1"/>
  <c r="F40" i="1"/>
  <c r="F144" i="1"/>
  <c r="G144" i="1" s="1"/>
  <c r="H144" i="1" s="1"/>
  <c r="I144" i="1" s="1"/>
  <c r="F145" i="1"/>
  <c r="F130" i="1"/>
  <c r="G130" i="1" s="1"/>
  <c r="H130" i="1" s="1"/>
  <c r="I130" i="1" s="1"/>
  <c r="G145" i="1"/>
  <c r="H145" i="1" s="1"/>
  <c r="I145" i="1" s="1"/>
  <c r="J145" i="1" s="1"/>
  <c r="J146" i="1" s="1"/>
  <c r="F133" i="1"/>
  <c r="G133" i="1" s="1"/>
  <c r="C141" i="1"/>
  <c r="C142" i="1" s="1"/>
  <c r="C143" i="1" s="1"/>
  <c r="C144" i="1" s="1"/>
  <c r="C145" i="1" s="1"/>
  <c r="C132" i="1"/>
  <c r="C133" i="1" s="1"/>
  <c r="C134" i="1" s="1"/>
  <c r="C135" i="1" s="1"/>
  <c r="F139" i="1"/>
  <c r="G139" i="1" s="1"/>
  <c r="H139" i="1" s="1"/>
  <c r="I139" i="1" s="1"/>
  <c r="J139" i="1" s="1"/>
  <c r="G135" i="1"/>
  <c r="H135" i="1" s="1"/>
  <c r="I135" i="1" s="1"/>
  <c r="F135" i="1"/>
  <c r="F134" i="1"/>
  <c r="G134" i="1" s="1"/>
  <c r="H134" i="1" s="1"/>
  <c r="F132" i="1"/>
  <c r="F204" i="1" l="1"/>
  <c r="F205" i="1" s="1"/>
  <c r="J175" i="1" s="1"/>
  <c r="E154" i="1"/>
  <c r="E158" i="1" s="1"/>
  <c r="E137" i="1"/>
  <c r="F15" i="1" s="1"/>
  <c r="H146" i="1"/>
  <c r="J183" i="1"/>
  <c r="F146" i="1"/>
  <c r="E146" i="1"/>
  <c r="G67" i="1" s="1"/>
  <c r="I146" i="1"/>
  <c r="G142" i="1"/>
  <c r="G146" i="1" s="1"/>
  <c r="F206" i="1" l="1"/>
  <c r="J176" i="1" s="1"/>
  <c r="I177" i="1" s="1"/>
  <c r="J177" i="1" s="1"/>
  <c r="F208" i="1" l="1"/>
  <c r="F215" i="1" s="1"/>
  <c r="F212" i="1" l="1"/>
  <c r="F214" i="1"/>
  <c r="F225" i="1"/>
  <c r="J179" i="1"/>
  <c r="J180" i="1" s="1"/>
  <c r="J181" i="1" s="1"/>
  <c r="J190" i="1"/>
  <c r="J192" i="1" s="1"/>
  <c r="G68" i="1" s="1"/>
  <c r="E157" i="1"/>
  <c r="J182" i="1" l="1"/>
  <c r="J184" i="1" s="1"/>
  <c r="J185" i="1" s="1"/>
  <c r="G70" i="1" s="1"/>
  <c r="F23" i="1"/>
  <c r="E156" i="1"/>
  <c r="G75" i="1" s="1"/>
  <c r="G76" i="1" l="1"/>
  <c r="H78" i="1" s="1"/>
  <c r="F76" i="1"/>
  <c r="H77" i="1" s="1"/>
  <c r="H81" i="1" l="1"/>
  <c r="H82" i="1" s="1"/>
  <c r="H83" i="1" s="1"/>
  <c r="H84" i="1" s="1"/>
  <c r="H85" i="1" s="1"/>
  <c r="I81" i="1"/>
  <c r="H87" i="1" l="1"/>
  <c r="I92" i="1" s="1"/>
  <c r="H92" i="1" l="1"/>
  <c r="H96" i="1"/>
  <c r="J96" i="1" l="1"/>
  <c r="J92" i="1"/>
  <c r="F99" i="1" s="1"/>
  <c r="F101" i="1" s="1"/>
  <c r="F224" i="1" l="1"/>
  <c r="F219" i="1"/>
  <c r="F105" i="1"/>
  <c r="I103" i="1"/>
  <c r="F109" i="1" l="1"/>
  <c r="F231" i="1" s="1"/>
  <c r="F108" i="1"/>
  <c r="F107" i="1"/>
  <c r="F22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</author>
    <author>Utente</author>
  </authors>
  <commentList>
    <comment ref="G108" authorId="0" shapeId="0" xr:uid="{DA26ECDD-3E99-4ABF-B12C-DF6D33D5A02D}">
      <text>
        <r>
          <rPr>
            <b/>
            <i/>
            <sz val="9"/>
            <color indexed="81"/>
            <rFont val="Tahoma"/>
            <family val="2"/>
          </rPr>
          <t>N.B.:</t>
        </r>
        <r>
          <rPr>
            <i/>
            <u/>
            <sz val="9"/>
            <color indexed="81"/>
            <rFont val="Tahoma"/>
            <family val="2"/>
          </rPr>
          <t>calcolo non corretto</t>
        </r>
        <r>
          <rPr>
            <i/>
            <sz val="9"/>
            <color indexed="81"/>
            <rFont val="Tahoma"/>
            <family val="2"/>
          </rPr>
          <t xml:space="preserve"> per i soggetti che hanno usufruito della </t>
        </r>
        <r>
          <rPr>
            <i/>
            <u/>
            <sz val="9"/>
            <color indexed="81"/>
            <rFont val="Tahoma"/>
            <family val="2"/>
          </rPr>
          <t>maxi deduzione del costo del personale</t>
        </r>
        <r>
          <rPr>
            <i/>
            <sz val="9"/>
            <color indexed="81"/>
            <rFont val="Tahoma"/>
            <family val="2"/>
          </rPr>
          <t xml:space="preserve"> Rigo RF55 cod. 66 e 67, in quanto va ricalcolato l'imponibile senza deduzione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2" authorId="0" shapeId="0" xr:uid="{00000000-0006-0000-0000-000001000000}">
      <text>
        <r>
          <rPr>
            <b/>
            <u/>
            <sz val="9"/>
            <color indexed="81"/>
            <rFont val="Tahoma"/>
            <family val="2"/>
          </rPr>
          <t xml:space="preserve">Eccedenza ante 2019: </t>
        </r>
        <r>
          <rPr>
            <u/>
            <sz val="9"/>
            <color indexed="81"/>
            <rFont val="Tahoma"/>
            <family val="2"/>
          </rPr>
          <t>utlilizzabile solo</t>
        </r>
        <r>
          <rPr>
            <sz val="9"/>
            <color indexed="81"/>
            <rFont val="Tahoma"/>
            <family val="2"/>
          </rPr>
          <t xml:space="preserve"> per compensare la parte di interessi relativa a prestiti stipulati prima del 17.06.2016. 
</t>
        </r>
        <r>
          <rPr>
            <b/>
            <u/>
            <sz val="9"/>
            <color indexed="81"/>
            <rFont val="Tahoma"/>
            <family val="2"/>
          </rPr>
          <t>Dal 2019</t>
        </r>
        <r>
          <rPr>
            <sz val="9"/>
            <color indexed="81"/>
            <rFont val="Tahoma"/>
            <family val="2"/>
          </rPr>
          <t xml:space="preserve"> riportabile in max 5 anni
</t>
        </r>
      </text>
    </comment>
    <comment ref="E153" authorId="1" shapeId="0" xr:uid="{00000000-0006-0000-0000-000002000000}">
      <text>
        <r>
          <rPr>
            <b/>
            <u/>
            <sz val="8"/>
            <color indexed="81"/>
            <rFont val="Tahoma"/>
            <family val="2"/>
          </rPr>
          <t xml:space="preserve">N.B. </t>
        </r>
        <r>
          <rPr>
            <b/>
            <sz val="8"/>
            <color indexed="81"/>
            <rFont val="Tahoma"/>
            <family val="2"/>
          </rPr>
          <t xml:space="preserve">INSERIRE L'IMPORTO SOLO SE POSITIVO
</t>
        </r>
      </text>
    </comment>
    <comment ref="I207" authorId="0" shapeId="0" xr:uid="{6929ACCA-42CA-460E-B14F-A8C9DD600523}">
      <text>
        <r>
          <rPr>
            <b/>
            <sz val="9"/>
            <color indexed="81"/>
            <rFont val="Tahoma"/>
            <family val="2"/>
          </rPr>
          <t>Aliquota Base Regione Marche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68D715-179C-45E5-AAAD-02361D7C73A3}" keepAlive="1" name="Query - Tabella3" description="Connessione alla query 'Tabella3' nella cartella di lavoro." type="5" refreshedVersion="0" background="1">
    <dbPr connection="Provider=Microsoft.Mashup.OleDb.1;Data Source=$Workbook$;Location=Tabella3;Extended Properties=&quot;&quot;" command="SELECT * FROM [Tabella3]"/>
  </connection>
</connections>
</file>

<file path=xl/sharedStrings.xml><?xml version="1.0" encoding="utf-8"?>
<sst xmlns="http://schemas.openxmlformats.org/spreadsheetml/2006/main" count="511" uniqueCount="443">
  <si>
    <t>società:</t>
  </si>
  <si>
    <t>rigo variaz.</t>
  </si>
  <si>
    <t>tipo</t>
  </si>
  <si>
    <t>descrizione</t>
  </si>
  <si>
    <t>variazioni</t>
  </si>
  <si>
    <t>totali</t>
  </si>
  <si>
    <t>utile netto</t>
  </si>
  <si>
    <t>variazione</t>
  </si>
  <si>
    <t>aumento</t>
  </si>
  <si>
    <t>diminuzione</t>
  </si>
  <si>
    <t>risultato bilancio verifica</t>
  </si>
  <si>
    <t xml:space="preserve"> </t>
  </si>
  <si>
    <t>risultato prima delle imposte</t>
  </si>
  <si>
    <t>sanzioni e multe</t>
  </si>
  <si>
    <t>altre spese</t>
  </si>
  <si>
    <t>Totale</t>
  </si>
  <si>
    <t>variazioni in aumento</t>
  </si>
  <si>
    <t>variazioni in diminuzione</t>
  </si>
  <si>
    <t>IRAP</t>
  </si>
  <si>
    <t>compensi amministratori</t>
  </si>
  <si>
    <t>TOTALE VARIAZIONI IN AUMENTO</t>
  </si>
  <si>
    <t>A</t>
  </si>
  <si>
    <t>ERARIO C / IRAP</t>
  </si>
  <si>
    <t>I R A P</t>
  </si>
  <si>
    <t>cassa previdenza</t>
  </si>
  <si>
    <t>RF20</t>
  </si>
  <si>
    <t>RF25</t>
  </si>
  <si>
    <t>RF18</t>
  </si>
  <si>
    <t>RF19</t>
  </si>
  <si>
    <t>RF21</t>
  </si>
  <si>
    <t>RF22</t>
  </si>
  <si>
    <t>V A R I A Z I O N I  I N  D I M I  N U Z I O N E</t>
  </si>
  <si>
    <t>V A R I A Z I O N I  I N  A U M E N T O</t>
  </si>
  <si>
    <t>RF39</t>
  </si>
  <si>
    <t>RF47</t>
  </si>
  <si>
    <t>contributi inps amministratori</t>
  </si>
  <si>
    <t>IRES</t>
  </si>
  <si>
    <t>ERARIO C/ IRES</t>
  </si>
  <si>
    <t>RISULTATO NETTO</t>
  </si>
  <si>
    <t>RF31</t>
  </si>
  <si>
    <t>RF34</t>
  </si>
  <si>
    <t>RF53</t>
  </si>
  <si>
    <t>RF6</t>
  </si>
  <si>
    <t>RF7</t>
  </si>
  <si>
    <t>RF8</t>
  </si>
  <si>
    <t>RF9</t>
  </si>
  <si>
    <t>RF15</t>
  </si>
  <si>
    <t>RF16</t>
  </si>
  <si>
    <t>RF17</t>
  </si>
  <si>
    <t>RF24</t>
  </si>
  <si>
    <t>ammortamento autovetture</t>
  </si>
  <si>
    <t>RF30</t>
  </si>
  <si>
    <t>RF43</t>
  </si>
  <si>
    <t>RF44</t>
  </si>
  <si>
    <t>COL.1</t>
  </si>
  <si>
    <t>interessi passivi in bilancio</t>
  </si>
  <si>
    <t>COL.3</t>
  </si>
  <si>
    <t>RF118</t>
  </si>
  <si>
    <t>RF119</t>
  </si>
  <si>
    <t>RF120</t>
  </si>
  <si>
    <t>RF121</t>
  </si>
  <si>
    <t>IC43</t>
  </si>
  <si>
    <t>perdite e svalutazione crediti</t>
  </si>
  <si>
    <t>IC44</t>
  </si>
  <si>
    <t>IC45</t>
  </si>
  <si>
    <t>IC46</t>
  </si>
  <si>
    <t>IC48</t>
  </si>
  <si>
    <t>collaborazioni coordinate e continuative</t>
  </si>
  <si>
    <t>IC53</t>
  </si>
  <si>
    <t>TOTALE INTERESSI PASSIVI DEDUCIBILI</t>
  </si>
  <si>
    <t>VALORE PRODUZIONE LORDA</t>
  </si>
  <si>
    <t>ammortamenti immobili</t>
  </si>
  <si>
    <t>RF46</t>
  </si>
  <si>
    <t>RF50</t>
  </si>
  <si>
    <t>codice 99</t>
  </si>
  <si>
    <t>codice 12</t>
  </si>
  <si>
    <t>codice 13</t>
  </si>
  <si>
    <t>(inserire l'importo totale)</t>
  </si>
  <si>
    <t>dividendi di competenza non incassati</t>
  </si>
  <si>
    <t xml:space="preserve">interessi passivi direttamente deducibili </t>
  </si>
  <si>
    <t>Interessi passivi non deducibili riportabili</t>
  </si>
  <si>
    <t>RF10</t>
  </si>
  <si>
    <t>RF13</t>
  </si>
  <si>
    <t>RF14</t>
  </si>
  <si>
    <t>rimanenze non contabilizzate o cont. In misura inf.</t>
  </si>
  <si>
    <t>RF23</t>
  </si>
  <si>
    <t>RF40</t>
  </si>
  <si>
    <t>codice 1</t>
  </si>
  <si>
    <t>codice 34</t>
  </si>
  <si>
    <t xml:space="preserve">utilizzabili nel </t>
  </si>
  <si>
    <t>limite dell'80%</t>
  </si>
  <si>
    <t>perdite piene</t>
  </si>
  <si>
    <t>perdite limitate</t>
  </si>
  <si>
    <t>reddito netto</t>
  </si>
  <si>
    <t>ACE</t>
  </si>
  <si>
    <t>COL. 2</t>
  </si>
  <si>
    <t>COL. 4</t>
  </si>
  <si>
    <t>c.4-bis</t>
  </si>
  <si>
    <t>DED. PER DIPENDENTI (1850/dip..ricavi&lt;400.000)</t>
  </si>
  <si>
    <t>c.1, lett. a), n.1</t>
  </si>
  <si>
    <t>c.1, lett. a), n.5</t>
  </si>
  <si>
    <t>ded. Irap ex art. 11 D.Lgs. n.446/1997</t>
  </si>
  <si>
    <t>(TN4)</t>
  </si>
  <si>
    <t>utilizzabili al 100%</t>
  </si>
  <si>
    <t>codice 33</t>
  </si>
  <si>
    <t xml:space="preserve">perdite limitate </t>
  </si>
  <si>
    <t xml:space="preserve">perdite piene </t>
  </si>
  <si>
    <t>(primi 3 periodi d'imposta)</t>
  </si>
  <si>
    <t>IMU</t>
  </si>
  <si>
    <t>costi effettivamente sostenuti già contabilizzati a fondi rischi</t>
  </si>
  <si>
    <t>TOTALE DEDUZ. IRAP SUL COSTO DEL LAVORO</t>
  </si>
  <si>
    <t>CALCOLO DEDUZIONI IRAP DALL'IRES</t>
  </si>
  <si>
    <t>altre variazioni in diminuzione</t>
  </si>
  <si>
    <t>quote contributi e liberalità (art.88)</t>
  </si>
  <si>
    <t>RF11</t>
  </si>
  <si>
    <t>RF12</t>
  </si>
  <si>
    <t>colonna 1</t>
  </si>
  <si>
    <t>colonna 2</t>
  </si>
  <si>
    <t>RF55</t>
  </si>
  <si>
    <t>ATTENZIONE</t>
  </si>
  <si>
    <t>CONTENGONO FORMULE.</t>
  </si>
  <si>
    <t>NON MODIFICARLE</t>
  </si>
  <si>
    <t>QUESTE CASELLE NUMERICHE COLORATE</t>
  </si>
  <si>
    <t>E</t>
  </si>
  <si>
    <t>NON INSERIRE IMPORTI</t>
  </si>
  <si>
    <t>erogazioni liberali e per finalità sociale indeducibili</t>
  </si>
  <si>
    <t xml:space="preserve"> - 80% altre attività</t>
  </si>
  <si>
    <t>sopravvenienze passive e minus patrimoniali</t>
  </si>
  <si>
    <t>spese manutenzione eccedenti 5%</t>
  </si>
  <si>
    <t>codice 6</t>
  </si>
  <si>
    <t>RF27</t>
  </si>
  <si>
    <t>codice 35</t>
  </si>
  <si>
    <t>interessi passivi esercizi precedenti art. 96 del TUIR</t>
  </si>
  <si>
    <t>codice 24</t>
  </si>
  <si>
    <t xml:space="preserve"> (da riportare nel rigo RF55 codice 33)</t>
  </si>
  <si>
    <t>imposte anticipate</t>
  </si>
  <si>
    <t>TOTALE IC43</t>
  </si>
  <si>
    <t>quota interessi canoni leasing</t>
  </si>
  <si>
    <t>IC50</t>
  </si>
  <si>
    <t>altre variazioni in aumento</t>
  </si>
  <si>
    <t>IC55</t>
  </si>
  <si>
    <t>IC56</t>
  </si>
  <si>
    <t>IC64</t>
  </si>
  <si>
    <t>DED. COSTO APPRENDISTI/ C.F.L./ DISABILI/ R&amp;S</t>
  </si>
  <si>
    <t>TOTALE DEDUZIONI</t>
  </si>
  <si>
    <t>2) IRAP 10% SUGLI ONERI FINANZIARI (forfetaria)</t>
  </si>
  <si>
    <t>1) QUOTA IRAP SUL COSTO DEL LAVORO DIPENDENTE (analitica)</t>
  </si>
  <si>
    <t>CONSIDERARE IL COSTO</t>
  </si>
  <si>
    <t>DEL PERSONALE DEL</t>
  </si>
  <si>
    <t>BILANCIO UE: VOCE B9</t>
  </si>
  <si>
    <t>interessi passivi non deducibili (art. 96 del TUIR)</t>
  </si>
  <si>
    <t>plusvalenze rateizzate</t>
  </si>
  <si>
    <t>eccedenza 5% spese manutenzione e riparazione</t>
  </si>
  <si>
    <t>componenti positivi extra contabili (ex quadro EC)</t>
  </si>
  <si>
    <t>proventi degli immobili di cui RF10</t>
  </si>
  <si>
    <t>c.4-bis.1</t>
  </si>
  <si>
    <t>IR22</t>
  </si>
  <si>
    <t>IR21</t>
  </si>
  <si>
    <t>IR1 COL. 5</t>
  </si>
  <si>
    <t>(RN6 o GN6)</t>
  </si>
  <si>
    <t>COL. 6 o COL. 4</t>
  </si>
  <si>
    <t>Consolidato Fiscale</t>
  </si>
  <si>
    <t>RF 120</t>
  </si>
  <si>
    <t>col. 2</t>
  </si>
  <si>
    <t>ecc.za ROL trasferito al consolidato</t>
  </si>
  <si>
    <t>RF 121</t>
  </si>
  <si>
    <t>col. 1</t>
  </si>
  <si>
    <t>ecc.za int. pass. inded. trasferiti al consolidato</t>
  </si>
  <si>
    <t>IC 51 codice 1</t>
  </si>
  <si>
    <t>IC 51 codice 3</t>
  </si>
  <si>
    <t>IC 51 codice 4</t>
  </si>
  <si>
    <t>IC 51 col. 99</t>
  </si>
  <si>
    <t>IC57 codice 3</t>
  </si>
  <si>
    <t>c. 4-octies</t>
  </si>
  <si>
    <t>carburante autovetture</t>
  </si>
  <si>
    <t>costi di immobili non strumentali di cui rigo RF10</t>
  </si>
  <si>
    <t>codice 41</t>
  </si>
  <si>
    <t>canoni di leasing indeducibili ex art. 102 c. 7 TUIR</t>
  </si>
  <si>
    <t>spese es. precendenti e spese non imputabili a conto economico</t>
  </si>
  <si>
    <t>plusvalenze relative a partecipazioni esenti ex art. 87 TUIR (PEX)</t>
  </si>
  <si>
    <t>RF54</t>
  </si>
  <si>
    <t>rimanenze contabilizzate in misura sup. ai sensi del TUIR (artt. 92 e 93)</t>
  </si>
  <si>
    <t>PERDITA (RN2 o GN2)</t>
  </si>
  <si>
    <t>mod. Redditi SC</t>
  </si>
  <si>
    <r>
      <t xml:space="preserve">10% </t>
    </r>
    <r>
      <rPr>
        <b/>
        <sz val="10"/>
        <rFont val="Calibri"/>
        <family val="2"/>
      </rPr>
      <t>irap</t>
    </r>
    <r>
      <rPr>
        <sz val="10"/>
        <rFont val="Calibri"/>
        <family val="2"/>
      </rPr>
      <t xml:space="preserve"> versata su oneri finanziari</t>
    </r>
  </si>
  <si>
    <r>
      <t>irap</t>
    </r>
    <r>
      <rPr>
        <sz val="10"/>
        <rFont val="Calibri"/>
        <family val="2"/>
      </rPr>
      <t xml:space="preserve"> versata su costo del personale</t>
    </r>
  </si>
  <si>
    <r>
      <t>N.B</t>
    </r>
    <r>
      <rPr>
        <sz val="8"/>
        <rFont val="Calibri"/>
        <family val="2"/>
      </rPr>
      <t>.</t>
    </r>
    <r>
      <rPr>
        <i/>
        <sz val="8"/>
        <rFont val="Calibri"/>
        <family val="2"/>
      </rPr>
      <t>:</t>
    </r>
    <r>
      <rPr>
        <sz val="8"/>
        <rFont val="Calibri"/>
        <family val="2"/>
      </rPr>
      <t xml:space="preserve">quadro </t>
    </r>
    <r>
      <rPr>
        <b/>
        <sz val="8"/>
        <rFont val="Calibri"/>
        <family val="2"/>
      </rPr>
      <t>GN</t>
    </r>
    <r>
      <rPr>
        <sz val="8"/>
        <rFont val="Calibri"/>
        <family val="2"/>
      </rPr>
      <t xml:space="preserve"> per </t>
    </r>
  </si>
  <si>
    <t>I M P O N I B I L E    I R E S</t>
  </si>
  <si>
    <t>IC49</t>
  </si>
  <si>
    <t>quota amm.to indeducibile fabbricati strumentali (quota terreno)</t>
  </si>
  <si>
    <t>oneri finanziari e spese personale per lavori interni non in A4</t>
  </si>
  <si>
    <t>quote di ammortamento non dedotte in anni precedenti</t>
  </si>
  <si>
    <t>IC57 codice 6-7</t>
  </si>
  <si>
    <t>IC57 codice 4</t>
  </si>
  <si>
    <t>R I S U L T A T O  AL  N E T T O  D E L L E  I M P O S T E</t>
  </si>
  <si>
    <t>NO</t>
  </si>
  <si>
    <t>S C R I T T U R E  C O N T A B I L I   DA   E S E G U I R E</t>
  </si>
  <si>
    <t>I  R  A  P</t>
  </si>
  <si>
    <t>IR26 o IR27</t>
  </si>
  <si>
    <t>altrimenti la deduzione non spetta</t>
  </si>
  <si>
    <r>
      <t>altre spese per personale dipendente</t>
    </r>
    <r>
      <rPr>
        <sz val="11"/>
        <rFont val="Calibri"/>
        <family val="2"/>
      </rPr>
      <t xml:space="preserve"> (diverse da quelle di B9)</t>
    </r>
  </si>
  <si>
    <r>
      <t xml:space="preserve">contributi </t>
    </r>
    <r>
      <rPr>
        <sz val="11"/>
        <rFont val="Calibri"/>
        <family val="2"/>
      </rPr>
      <t>(diversi da quelli di A5)</t>
    </r>
  </si>
  <si>
    <r>
      <t xml:space="preserve">quota costo lavoro interinale deducibile </t>
    </r>
    <r>
      <rPr>
        <sz val="11"/>
        <rFont val="Calibri"/>
        <family val="2"/>
      </rPr>
      <t>(se compresa in B9)</t>
    </r>
  </si>
  <si>
    <r>
      <t>DED. FORFAIT PER</t>
    </r>
    <r>
      <rPr>
        <sz val="10"/>
        <color indexed="12"/>
        <rFont val="Calibri"/>
        <family val="2"/>
      </rPr>
      <t xml:space="preserve"> valore della produzione &lt; 180.760</t>
    </r>
  </si>
  <si>
    <r>
      <t>REDDITO</t>
    </r>
    <r>
      <rPr>
        <b/>
        <i/>
        <sz val="10"/>
        <rFont val="Calibri"/>
        <family val="2"/>
      </rPr>
      <t xml:space="preserve"> </t>
    </r>
    <r>
      <rPr>
        <b/>
        <sz val="10"/>
        <rFont val="Calibri"/>
        <family val="2"/>
      </rPr>
      <t>(RN1 o GN1)</t>
    </r>
  </si>
  <si>
    <t xml:space="preserve"> (da riportare nel rigo RF55 codice 12)</t>
  </si>
  <si>
    <t xml:space="preserve"> TOTALE DED. IRAP 10% SU ONERI FINANZIARI</t>
  </si>
  <si>
    <r>
      <t>VALORE DELLA PRODUZIONE</t>
    </r>
    <r>
      <rPr>
        <b/>
        <sz val="11"/>
        <rFont val="Calibri"/>
        <family val="2"/>
      </rPr>
      <t>: A) - B) esclusi numeri 9),10) lettere c) e d), 12) e 13) del Bil. UE</t>
    </r>
  </si>
  <si>
    <t xml:space="preserve"> - B)</t>
  </si>
  <si>
    <t xml:space="preserve">    A)</t>
  </si>
  <si>
    <t>Amm.to imm.li mat. e imm.li</t>
  </si>
  <si>
    <r>
      <t xml:space="preserve">               R O L   </t>
    </r>
    <r>
      <rPr>
        <b/>
        <sz val="12"/>
        <rFont val="Calibri"/>
        <family val="2"/>
      </rPr>
      <t>(</t>
    </r>
    <r>
      <rPr>
        <b/>
        <i/>
        <u val="singleAccounting"/>
        <sz val="12"/>
        <rFont val="Calibri"/>
        <family val="2"/>
      </rPr>
      <t>indicare solo se positivo</t>
    </r>
    <r>
      <rPr>
        <b/>
        <u val="singleAccounting"/>
        <sz val="12"/>
        <rFont val="Calibri"/>
        <family val="2"/>
      </rPr>
      <t>) (*)</t>
    </r>
  </si>
  <si>
    <t xml:space="preserve"> + B)10) lett. a) e b)</t>
  </si>
  <si>
    <r>
      <t xml:space="preserve"> </t>
    </r>
    <r>
      <rPr>
        <b/>
        <sz val="11"/>
        <rFont val="Calibri"/>
        <family val="2"/>
      </rPr>
      <t>+</t>
    </r>
    <r>
      <rPr>
        <i/>
        <sz val="11"/>
        <rFont val="Calibri"/>
        <family val="2"/>
      </rPr>
      <t xml:space="preserve">  Canoni di locazione finanziaria beni strumentali</t>
    </r>
  </si>
  <si>
    <r>
      <rPr>
        <sz val="10"/>
        <rFont val="Calibri"/>
        <family val="2"/>
      </rPr>
      <t xml:space="preserve"> </t>
    </r>
    <r>
      <rPr>
        <b/>
        <sz val="10"/>
        <rFont val="Calibri"/>
        <family val="2"/>
      </rPr>
      <t>+</t>
    </r>
    <r>
      <rPr>
        <b/>
        <i/>
        <sz val="10"/>
        <rFont val="Calibri"/>
        <family val="2"/>
      </rPr>
      <t xml:space="preserve">  </t>
    </r>
    <r>
      <rPr>
        <i/>
        <sz val="10"/>
        <rFont val="Calibri"/>
        <family val="2"/>
      </rPr>
      <t xml:space="preserve">   dividendi incassati relativi a partecipazioni detenute in</t>
    </r>
  </si>
  <si>
    <t xml:space="preserve">         società controllate estere</t>
  </si>
  <si>
    <t>art. 99 c. 1</t>
  </si>
  <si>
    <t>art. 95 c. 5</t>
  </si>
  <si>
    <t>artt. 102,</t>
  </si>
  <si>
    <t xml:space="preserve"> e 104</t>
  </si>
  <si>
    <t>art. 102, c. 6</t>
  </si>
  <si>
    <t>codice 56</t>
  </si>
  <si>
    <t>esenzione utili/perdite stabili organizzazioni (branch exemption)</t>
  </si>
  <si>
    <t>art. 95 c. 5-6</t>
  </si>
  <si>
    <t>artt. 108,109 c.5</t>
  </si>
  <si>
    <t>IRES a debito (RN23)/a credito (RN24)</t>
  </si>
  <si>
    <t>COL. 6</t>
  </si>
  <si>
    <t>interessi passivi indeducibili società di intermediazione</t>
  </si>
  <si>
    <t>quote deducibili ammortamento costi acquisto marchi e avviamento</t>
  </si>
  <si>
    <t>Saldo IRAP (debito/credito)</t>
  </si>
  <si>
    <t>IR23-IR24</t>
  </si>
  <si>
    <t>Circolare AdE n. 25 del 16.06.2012:</t>
  </si>
  <si>
    <t>in caso di presenza contemporanea</t>
  </si>
  <si>
    <t>di perdite piene e limitate,</t>
  </si>
  <si>
    <t>non è previsto alcun ordine</t>
  </si>
  <si>
    <t>di priorità di utilizzo.</t>
  </si>
  <si>
    <t>(il prospetto è impostato con</t>
  </si>
  <si>
    <t>l'utilizzo prima di quelle piene)</t>
  </si>
  <si>
    <t>N.B.</t>
  </si>
  <si>
    <r>
      <t xml:space="preserve">ecc.za ROL </t>
    </r>
    <r>
      <rPr>
        <b/>
        <u val="singleAccounting"/>
        <sz val="8"/>
        <rFont val="Calibri"/>
        <family val="2"/>
      </rPr>
      <t>non trasferibili</t>
    </r>
    <r>
      <rPr>
        <sz val="8"/>
        <rFont val="Calibri"/>
        <family val="2"/>
      </rPr>
      <t xml:space="preserve"> al consolidato</t>
    </r>
  </si>
  <si>
    <r>
      <t xml:space="preserve">ecc.za int. pass. inded. </t>
    </r>
    <r>
      <rPr>
        <b/>
        <sz val="8"/>
        <rFont val="Calibri"/>
        <family val="2"/>
      </rPr>
      <t xml:space="preserve">non trasferibili </t>
    </r>
    <r>
      <rPr>
        <sz val="8"/>
        <rFont val="Calibri"/>
        <family val="2"/>
      </rPr>
      <t>al consolidato</t>
    </r>
  </si>
  <si>
    <t>adeguamento ricavi ai fini degli ISA</t>
  </si>
  <si>
    <t>minusvalenze relative a partecipazioni esenti</t>
  </si>
  <si>
    <r>
      <t xml:space="preserve">variazioni ex artt. 118 e 123 </t>
    </r>
    <r>
      <rPr>
        <sz val="8"/>
        <rFont val="Calibri"/>
        <family val="2"/>
      </rPr>
      <t>(Consolidato Fiscale)</t>
    </r>
  </si>
  <si>
    <t>RF36-RF38</t>
  </si>
  <si>
    <t>utili da partecipazioni in soc. di persone-dividendi da regime in trasparenza ex 115-TUIR</t>
  </si>
  <si>
    <t>quota esclusa degli utili distribuiti (es. 95% degli utili percepiti ex art. 89 TUIR)</t>
  </si>
  <si>
    <r>
      <t>proventi non tassabili ex art. 91 comma 1 del TUIR (</t>
    </r>
    <r>
      <rPr>
        <i/>
        <sz val="10"/>
        <rFont val="Calibri"/>
        <family val="2"/>
        <scheme val="minor"/>
      </rPr>
      <t>es. int. su BOT)</t>
    </r>
  </si>
  <si>
    <t>super ammortamenti (legge 208/2015-legge 232/2016-legge 205/2017)</t>
  </si>
  <si>
    <t>iper ammortamenti (l. 232/2016-l. 205/2017-l.145/2018) e super amm.ti beni imm.li relativi</t>
  </si>
  <si>
    <t>cod. 55-56-58-59-75-76</t>
  </si>
  <si>
    <t>PROSPETTO PERDITE FISCALI (*)</t>
  </si>
  <si>
    <t>(*)</t>
  </si>
  <si>
    <t>COL. 11 o COL. 6</t>
  </si>
  <si>
    <t>eccedenza interessi passivi</t>
  </si>
  <si>
    <t>adeguamento da ISA</t>
  </si>
  <si>
    <t>IC 51 codice 2</t>
  </si>
  <si>
    <t>IC 51 codice 6</t>
  </si>
  <si>
    <t>IC66 (rigo IS1)</t>
  </si>
  <si>
    <t>IC66 (rigo IS4)</t>
  </si>
  <si>
    <t>acconto pari al 100%</t>
  </si>
  <si>
    <t>la voce C) "Totale Proventi e Oneri finanziari"</t>
  </si>
  <si>
    <t>del reddito imponibile</t>
  </si>
  <si>
    <t>acconto totale 100%</t>
  </si>
  <si>
    <t>(*) Determinazione del ROL fiscale:</t>
  </si>
  <si>
    <r>
      <t>Valore della produzione (</t>
    </r>
    <r>
      <rPr>
        <b/>
        <i/>
        <sz val="10"/>
        <rFont val="Calibri"/>
        <family val="2"/>
        <scheme val="minor"/>
      </rPr>
      <t>valori fiscali</t>
    </r>
    <r>
      <rPr>
        <i/>
        <sz val="10"/>
        <rFont val="Calibri"/>
        <family val="2"/>
        <scheme val="minor"/>
      </rPr>
      <t>)</t>
    </r>
  </si>
  <si>
    <r>
      <t>Costi della produzione (</t>
    </r>
    <r>
      <rPr>
        <b/>
        <i/>
        <sz val="10"/>
        <rFont val="Calibri"/>
        <family val="2"/>
        <scheme val="minor"/>
      </rPr>
      <t>valori fiscali</t>
    </r>
    <r>
      <rPr>
        <i/>
        <sz val="10"/>
        <rFont val="Calibri"/>
        <family val="2"/>
        <scheme val="minor"/>
      </rPr>
      <t>)</t>
    </r>
  </si>
  <si>
    <t>RF118    COL.2</t>
  </si>
  <si>
    <t xml:space="preserve"> +/- compenti positivi o negativi che hanno concorso</t>
  </si>
  <si>
    <t xml:space="preserve">        alla determinazione del ROL nei periodi precedenti</t>
  </si>
  <si>
    <t xml:space="preserve">                                                                                                           </t>
  </si>
  <si>
    <t>102-bis e 103</t>
  </si>
  <si>
    <r>
      <t>spese inded. ai sensi dell'art. 109, comma 5 (</t>
    </r>
    <r>
      <rPr>
        <i/>
        <sz val="10"/>
        <rFont val="Calibri"/>
        <family val="2"/>
        <scheme val="minor"/>
      </rPr>
      <t>pro-rata di deducibilità spese generali)</t>
    </r>
  </si>
  <si>
    <t>componenti negativi a patrimonio per applicazione IAS/IFRS</t>
  </si>
  <si>
    <t>codice 50-57-79</t>
  </si>
  <si>
    <t>RF118    COL.3-4</t>
  </si>
  <si>
    <t>interessi attivi in bilancio+quelli riportabili es. prec.</t>
  </si>
  <si>
    <t>COL.5</t>
  </si>
  <si>
    <t>RF118    COL.6</t>
  </si>
  <si>
    <t>COL.6</t>
  </si>
  <si>
    <t>COL.1-COL. 5</t>
  </si>
  <si>
    <t>COL.7</t>
  </si>
  <si>
    <t xml:space="preserve">30% del ROL (o RF 118 col.6 se minore) </t>
  </si>
  <si>
    <t>COL.3-COL. 7</t>
  </si>
  <si>
    <t>eccedenza di ROL riportabile</t>
  </si>
  <si>
    <t>quote indeducibili ammortamento costi acquisto marchi e avviamento</t>
  </si>
  <si>
    <t>variazioni da applicazione degli IAS e dei nuvoi principi contabili nazionali</t>
  </si>
  <si>
    <t>variazioni IAS e nuovi principi contabili nazionali</t>
  </si>
  <si>
    <t>insussistenze e sopravvenienze attive di componenti economiche es. precedenti</t>
  </si>
  <si>
    <t>IC57 col.16</t>
  </si>
  <si>
    <t>IC52</t>
  </si>
  <si>
    <t>IC58</t>
  </si>
  <si>
    <t>IC67 (rigo IS5)</t>
  </si>
  <si>
    <t>IC69 (rigo IS7)</t>
  </si>
  <si>
    <t>IC75</t>
  </si>
  <si>
    <t>Credito imposta per ACE e altri crediti di imposta</t>
  </si>
  <si>
    <t>IR25 col. 2</t>
  </si>
  <si>
    <t>reddito catastale immobili non strumentali ("immobili patrimonio")</t>
  </si>
  <si>
    <r>
      <t xml:space="preserve">utili lav. dip. e associati in partecip. e </t>
    </r>
    <r>
      <rPr>
        <b/>
        <u/>
        <sz val="10"/>
        <rFont val="Calibri"/>
        <family val="2"/>
        <scheme val="minor"/>
      </rPr>
      <t>compensi amministratori imputati es. prec.</t>
    </r>
  </si>
  <si>
    <r>
      <t>spese manutenzione eccedenti 5% esercizi precedenti (</t>
    </r>
    <r>
      <rPr>
        <i/>
        <sz val="10"/>
        <rFont val="Calibri"/>
        <family val="2"/>
        <scheme val="minor"/>
      </rPr>
      <t>corrispondente RF24</t>
    </r>
    <r>
      <rPr>
        <sz val="10"/>
        <rFont val="Calibri"/>
        <family val="2"/>
        <scheme val="minor"/>
      </rPr>
      <t>)</t>
    </r>
  </si>
  <si>
    <t>patent box</t>
  </si>
  <si>
    <t>IC57 codice 99</t>
  </si>
  <si>
    <r>
      <t>Credito anno precedente</t>
    </r>
    <r>
      <rPr>
        <b/>
        <sz val="11"/>
        <rFont val="Calibri"/>
        <family val="2"/>
        <scheme val="minor"/>
      </rPr>
      <t xml:space="preserve"> </t>
    </r>
    <r>
      <rPr>
        <b/>
        <u/>
        <sz val="11"/>
        <rFont val="Calibri"/>
        <family val="2"/>
        <scheme val="minor"/>
      </rPr>
      <t>residuo non compensato</t>
    </r>
  </si>
  <si>
    <t>Acconti versati</t>
  </si>
  <si>
    <t>DED. COSTO DIPENDENTI A TEMPO INDETERMINATO</t>
  </si>
  <si>
    <t>(rigo IS8)</t>
  </si>
  <si>
    <t>(rigo IS9)</t>
  </si>
  <si>
    <t>Somma deduzioni (IS1+IS4+IS5+IS7)</t>
  </si>
  <si>
    <t>(rigo IS10)</t>
  </si>
  <si>
    <r>
      <rPr>
        <b/>
        <i/>
        <sz val="11"/>
        <color rgb="FF3366FF"/>
        <rFont val="Calibri"/>
        <family val="2"/>
        <scheme val="minor"/>
      </rPr>
      <t xml:space="preserve">Eccedenze </t>
    </r>
    <r>
      <rPr>
        <b/>
        <i/>
        <sz val="11"/>
        <color indexed="48"/>
        <rFont val="Calibri"/>
        <family val="2"/>
        <scheme val="minor"/>
      </rPr>
      <t>delle deduzioni rispetto alle retribuzioni</t>
    </r>
  </si>
  <si>
    <r>
      <t xml:space="preserve">Totale deduzioni </t>
    </r>
    <r>
      <rPr>
        <i/>
        <sz val="11"/>
        <color rgb="FF3366FF"/>
        <rFont val="Calibri"/>
        <family val="2"/>
        <scheme val="minor"/>
      </rPr>
      <t>(IS8-IS9)</t>
    </r>
  </si>
  <si>
    <r>
      <t>IRES LORDA</t>
    </r>
    <r>
      <rPr>
        <b/>
        <i/>
        <sz val="10"/>
        <rFont val="Calibri"/>
        <family val="2"/>
        <scheme val="minor"/>
      </rPr>
      <t xml:space="preserve"> (RN9)</t>
    </r>
  </si>
  <si>
    <r>
      <t xml:space="preserve">                           I R E S      N E T T A                     </t>
    </r>
    <r>
      <rPr>
        <b/>
        <i/>
        <sz val="12"/>
        <rFont val="Calibri"/>
        <family val="2"/>
        <scheme val="minor"/>
      </rPr>
      <t>(RN11)</t>
    </r>
  </si>
  <si>
    <r>
      <t xml:space="preserve">DETRAZIONI     </t>
    </r>
    <r>
      <rPr>
        <b/>
        <i/>
        <sz val="10"/>
        <rFont val="Calibri"/>
        <family val="2"/>
        <scheme val="minor"/>
      </rPr>
      <t>(RN10)</t>
    </r>
  </si>
  <si>
    <t>RN17</t>
  </si>
  <si>
    <t xml:space="preserve">IRES dovuta o differenza a favore del contribuente </t>
  </si>
  <si>
    <r>
      <t xml:space="preserve">CREDITO IRES ANNO PRECEDENTE </t>
    </r>
    <r>
      <rPr>
        <b/>
        <i/>
        <u/>
        <sz val="10"/>
        <rFont val="Calibri"/>
        <family val="2"/>
        <scheme val="minor"/>
      </rPr>
      <t xml:space="preserve">RESIDUO </t>
    </r>
    <r>
      <rPr>
        <b/>
        <i/>
        <sz val="10"/>
        <rFont val="Calibri"/>
        <family val="2"/>
        <scheme val="minor"/>
      </rPr>
      <t>+ ACCONTI</t>
    </r>
  </si>
  <si>
    <t>(RN19-RN20)+RN22</t>
  </si>
  <si>
    <t>RN12+RN13+RN14+RN15</t>
  </si>
  <si>
    <t xml:space="preserve">DED. PER CONTRIBUTI ASSICURATIVI (INAIL) </t>
  </si>
  <si>
    <t>reddito soggetti con particolari regimi fiscali (es. soc. agricole)</t>
  </si>
  <si>
    <t xml:space="preserve"> - 20% agenti e rappresentanti</t>
  </si>
  <si>
    <r>
      <t xml:space="preserve">   Le </t>
    </r>
    <r>
      <rPr>
        <b/>
        <sz val="9"/>
        <rFont val="Calibri"/>
        <family val="2"/>
        <scheme val="minor"/>
      </rPr>
      <t>start up</t>
    </r>
    <r>
      <rPr>
        <sz val="9"/>
        <rFont val="Calibri"/>
        <family val="2"/>
        <scheme val="minor"/>
      </rPr>
      <t xml:space="preserve"> possono dedurle dall'anno in cui conseguono i ricavi e in quello successivo</t>
    </r>
  </si>
  <si>
    <t>reddito esente e detassato (es. Patent Box)</t>
  </si>
  <si>
    <t>cod. 66 e 67</t>
  </si>
  <si>
    <t>maggior deduzione del costo del personale di nuova assunzione (art. 4 D.Lgs. 216/2023)</t>
  </si>
  <si>
    <r>
      <t xml:space="preserve">CREDITI D'IMPOSTA + </t>
    </r>
    <r>
      <rPr>
        <b/>
        <i/>
        <u/>
        <sz val="12"/>
        <rFont val="Calibri"/>
        <family val="2"/>
        <scheme val="minor"/>
      </rPr>
      <t>RITENUTE D'ACCONTO</t>
    </r>
  </si>
  <si>
    <t xml:space="preserve">INSERIRE ECCEDENZA </t>
  </si>
  <si>
    <t>ACE ANNO PRECEDENTE</t>
  </si>
  <si>
    <t>CP1 COL. 1</t>
  </si>
  <si>
    <t>CP1 COL. 2</t>
  </si>
  <si>
    <t>CP1 COL. 3</t>
  </si>
  <si>
    <t>Imponibile soggetto a imposta sostitutiva</t>
  </si>
  <si>
    <t>CP1 COL. 4</t>
  </si>
  <si>
    <t>Aliquota</t>
  </si>
  <si>
    <t>(inserire solo se &gt; 0)</t>
  </si>
  <si>
    <t>CP1 COL. 5</t>
  </si>
  <si>
    <t>IMPOSTA SOSTITUTIVA</t>
  </si>
  <si>
    <t xml:space="preserve"> &lt; 6</t>
  </si>
  <si>
    <t>SEZIONE I</t>
  </si>
  <si>
    <t>SEZIONE II</t>
  </si>
  <si>
    <t>Variazioni</t>
  </si>
  <si>
    <t>CP6 COL. 1-8</t>
  </si>
  <si>
    <t>CP7 COL. 1</t>
  </si>
  <si>
    <t>CP7 COL. 2</t>
  </si>
  <si>
    <t>CP7 COL. 5</t>
  </si>
  <si>
    <t>≥ 8</t>
  </si>
  <si>
    <t>≥ 6 e &lt; 8</t>
  </si>
  <si>
    <t>RN4 COL. 4</t>
  </si>
  <si>
    <t>REDDITO D’IMPRESA CONCORDATO ASSOGGETTATO AD IMPOSIZIONE</t>
  </si>
  <si>
    <t>Valore della produzione concordato</t>
  </si>
  <si>
    <t>Minusvalenze e sopravvenienze passive</t>
  </si>
  <si>
    <t>Plusvalenze e Sopravvenienze attive</t>
  </si>
  <si>
    <t>IS250 Col. 1</t>
  </si>
  <si>
    <t>IS250 Col. 2</t>
  </si>
  <si>
    <t>IS250 Col. 3</t>
  </si>
  <si>
    <t>IS250 Col. 4</t>
  </si>
  <si>
    <t>Valore della produzione concordato rettificato</t>
  </si>
  <si>
    <t>BASE IMPONIBILE IRAP 2024</t>
  </si>
  <si>
    <t>CONCORDATO PREVENTIVO BIENNALE (CPB)     (SI/NO)</t>
  </si>
  <si>
    <t>SOCIETA' TRASPARENTE                                       (SI/NO)</t>
  </si>
  <si>
    <t>SOGGETTO "ISA"                                                   (SI/NO)</t>
  </si>
  <si>
    <t>Aliquota IRAP</t>
  </si>
  <si>
    <t>SI</t>
  </si>
  <si>
    <t>(rigo P08 Mod. CPB 2024/2025)</t>
  </si>
  <si>
    <t>Reddito concordato imponibile</t>
  </si>
  <si>
    <t>Reddito concordato imponibile rettificato</t>
  </si>
  <si>
    <t>Principali aliquote IRAP</t>
  </si>
  <si>
    <t>CONCORDATO PREVENTIVO BIENNALE (CPB) - I R A P</t>
  </si>
  <si>
    <t>Variazioni Art. 15-16-17 D.Lgs. 13/2024</t>
  </si>
  <si>
    <t>Plusvalenze - Sopravv. attive - Redditi da partecipazioni</t>
  </si>
  <si>
    <t>Minus. - Sopravv. Passive - Perdite su crediti - Perdite da part.ni</t>
  </si>
  <si>
    <t>QUOTA IRAP 2024 DEDUCIBILE TEORICA</t>
  </si>
  <si>
    <t>QUOTA IRAP 2024 DEDUCIBILE MASSIMA</t>
  </si>
  <si>
    <t>A N N O     D' I M P O S T A   2 0 2 5</t>
  </si>
  <si>
    <r>
      <t>altri interessi indeducibili (</t>
    </r>
    <r>
      <rPr>
        <b/>
        <i/>
        <sz val="12"/>
        <rFont val="Calibri"/>
        <family val="2"/>
      </rPr>
      <t>es. int. di mora, int. su liq. trimestrali IVA</t>
    </r>
    <r>
      <rPr>
        <sz val="12"/>
        <rFont val="Calibri"/>
        <family val="2"/>
      </rPr>
      <t>)</t>
    </r>
  </si>
  <si>
    <r>
      <t xml:space="preserve">spese di rappresentaza </t>
    </r>
    <r>
      <rPr>
        <u/>
        <sz val="12"/>
        <rFont val="Calibri"/>
        <family val="2"/>
      </rPr>
      <t>imprese start up</t>
    </r>
  </si>
  <si>
    <t>artt. 105-106-107</t>
  </si>
  <si>
    <t>accantonamenti non deducibili in tutto o in parte</t>
  </si>
  <si>
    <r>
      <t>componenti imputati a patrimonio (</t>
    </r>
    <r>
      <rPr>
        <u/>
        <sz val="8.5"/>
        <rFont val="Calibri"/>
        <family val="2"/>
        <scheme val="minor"/>
      </rPr>
      <t>cambiamento criterio di valutazione</t>
    </r>
    <r>
      <rPr>
        <sz val="8.5"/>
        <rFont val="Calibri"/>
        <family val="2"/>
        <scheme val="minor"/>
      </rPr>
      <t>/applicazione IAS/IFRS)</t>
    </r>
  </si>
  <si>
    <r>
      <rPr>
        <b/>
        <sz val="9.5"/>
        <rFont val="Calibri"/>
        <family val="2"/>
        <scheme val="minor"/>
      </rPr>
      <t>5% dividendi</t>
    </r>
    <r>
      <rPr>
        <sz val="9.5"/>
        <rFont val="Calibri"/>
        <family val="2"/>
        <scheme val="minor"/>
      </rPr>
      <t xml:space="preserve"> incassati nel periodo di imposta ma di competenza di esercizi precedenti</t>
    </r>
  </si>
  <si>
    <r>
      <rPr>
        <b/>
        <sz val="12"/>
        <rFont val="Calibri"/>
        <family val="2"/>
        <scheme val="minor"/>
      </rPr>
      <t>interessi passivi</t>
    </r>
    <r>
      <rPr>
        <sz val="12"/>
        <rFont val="Calibri"/>
        <family val="2"/>
        <scheme val="minor"/>
      </rPr>
      <t xml:space="preserve"> indeducibili ai sensi </t>
    </r>
    <r>
      <rPr>
        <b/>
        <sz val="12"/>
        <rFont val="Calibri"/>
        <family val="2"/>
        <scheme val="minor"/>
      </rPr>
      <t>art. 96</t>
    </r>
    <r>
      <rPr>
        <sz val="12"/>
        <rFont val="Calibri"/>
        <family val="2"/>
        <scheme val="minor"/>
      </rPr>
      <t xml:space="preserve"> del TUIR</t>
    </r>
  </si>
  <si>
    <t>codice 3</t>
  </si>
  <si>
    <t>costi beni impresa in godimento ai soci e/o familiari non deducibili</t>
  </si>
  <si>
    <r>
      <t xml:space="preserve">ammortamento cellulare e altri </t>
    </r>
    <r>
      <rPr>
        <b/>
        <sz val="12"/>
        <rFont val="Calibri"/>
        <family val="2"/>
        <scheme val="minor"/>
      </rPr>
      <t>ammortamenti indeducibili</t>
    </r>
  </si>
  <si>
    <r>
      <t xml:space="preserve">manutenzione e </t>
    </r>
    <r>
      <rPr>
        <b/>
        <sz val="12"/>
        <rFont val="Calibri"/>
        <family val="2"/>
        <scheme val="minor"/>
      </rPr>
      <t>spese varie autovetture</t>
    </r>
  </si>
  <si>
    <r>
      <rPr>
        <b/>
        <sz val="11"/>
        <rFont val="Calibri"/>
        <family val="2"/>
        <scheme val="minor"/>
      </rPr>
      <t>ecc.za svalutazione e accantonamenti rischi su crediti</t>
    </r>
    <r>
      <rPr>
        <sz val="11"/>
        <rFont val="Calibri"/>
        <family val="2"/>
        <scheme val="minor"/>
      </rPr>
      <t xml:space="preserve"> art. 106, c. 1 TUIR</t>
    </r>
  </si>
  <si>
    <t>art. 164</t>
  </si>
  <si>
    <t>assicurazione e bollo autovetture</t>
  </si>
  <si>
    <t>Deducibilità:</t>
  </si>
  <si>
    <r>
      <t xml:space="preserve">spese vitto e alloggio </t>
    </r>
    <r>
      <rPr>
        <b/>
        <sz val="11"/>
        <rFont val="Calibri"/>
        <family val="2"/>
      </rPr>
      <t>(anche di rappresentanza)</t>
    </r>
  </si>
  <si>
    <r>
      <t>altre spese di rappresentanza</t>
    </r>
    <r>
      <rPr>
        <sz val="12"/>
        <rFont val="Calibri"/>
        <family val="2"/>
      </rPr>
      <t xml:space="preserve"> (</t>
    </r>
    <r>
      <rPr>
        <b/>
        <sz val="12"/>
        <rFont val="Calibri"/>
        <family val="2"/>
      </rPr>
      <t>es. omaggi</t>
    </r>
    <r>
      <rPr>
        <sz val="12"/>
        <rFont val="Calibri"/>
        <family val="2"/>
      </rPr>
      <t>)</t>
    </r>
  </si>
  <si>
    <r>
      <t xml:space="preserve">spese vitto e alloggio trasferte </t>
    </r>
    <r>
      <rPr>
        <b/>
        <sz val="8.3000000000000007"/>
        <rFont val="Calibri"/>
        <family val="2"/>
        <scheme val="minor"/>
      </rPr>
      <t>dipendenti</t>
    </r>
    <r>
      <rPr>
        <sz val="8.3000000000000007"/>
        <rFont val="Calibri"/>
        <family val="2"/>
        <scheme val="minor"/>
      </rPr>
      <t xml:space="preserve"> art. 95 c. 3 TUIR e quelle non pagate con mezzi tracciabili</t>
    </r>
  </si>
  <si>
    <r>
      <t xml:space="preserve">spese vitto/alloggio/viaggio/traporto pagate con mezzi </t>
    </r>
    <r>
      <rPr>
        <b/>
        <u/>
        <sz val="11"/>
        <rFont val="Calibri"/>
        <family val="2"/>
        <scheme val="minor"/>
      </rPr>
      <t>non tracciabili</t>
    </r>
  </si>
  <si>
    <r>
      <rPr>
        <b/>
        <sz val="12"/>
        <rFont val="Calibri"/>
        <family val="2"/>
        <scheme val="minor"/>
      </rPr>
      <t>compensi amministratori</t>
    </r>
    <r>
      <rPr>
        <sz val="12"/>
        <rFont val="Calibri"/>
        <family val="2"/>
        <scheme val="minor"/>
      </rPr>
      <t xml:space="preserve"> contabilizzati ma </t>
    </r>
    <r>
      <rPr>
        <b/>
        <sz val="12"/>
        <rFont val="Calibri"/>
        <family val="2"/>
        <scheme val="minor"/>
      </rPr>
      <t>non corrisposti</t>
    </r>
  </si>
  <si>
    <r>
      <rPr>
        <b/>
        <sz val="11"/>
        <rFont val="Calibri"/>
        <family val="2"/>
        <scheme val="minor"/>
      </rPr>
      <t>imposte non deducibili</t>
    </r>
    <r>
      <rPr>
        <sz val="11"/>
        <rFont val="Calibri"/>
        <family val="2"/>
        <scheme val="minor"/>
      </rPr>
      <t xml:space="preserve"> o</t>
    </r>
    <r>
      <rPr>
        <u/>
        <sz val="11"/>
        <rFont val="Calibri"/>
        <family val="2"/>
        <scheme val="minor"/>
      </rPr>
      <t xml:space="preserve"> deducibili ma non pagate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</rPr>
      <t>(</t>
    </r>
    <r>
      <rPr>
        <b/>
        <u/>
        <sz val="11"/>
        <rFont val="Calibri"/>
        <family val="2"/>
      </rPr>
      <t>inserire anche IMU*)</t>
    </r>
  </si>
  <si>
    <r>
      <rPr>
        <b/>
        <sz val="11"/>
        <rFont val="Calibri"/>
        <family val="2"/>
        <scheme val="minor"/>
      </rPr>
      <t>spese telefoniche</t>
    </r>
    <r>
      <rPr>
        <b/>
        <i/>
        <sz val="10"/>
        <rFont val="Calibri"/>
        <family val="2"/>
      </rPr>
      <t xml:space="preserve"> (quota 20% indeducibile)</t>
    </r>
  </si>
  <si>
    <r>
      <rPr>
        <b/>
        <sz val="12"/>
        <rFont val="Calibri"/>
        <family val="2"/>
        <scheme val="minor"/>
      </rPr>
      <t>plusvalenze e sopravvenienze attive</t>
    </r>
    <r>
      <rPr>
        <sz val="12"/>
        <rFont val="Calibri"/>
        <family val="2"/>
        <scheme val="minor"/>
      </rPr>
      <t xml:space="preserve"> rateizzate</t>
    </r>
    <r>
      <rPr>
        <i/>
        <sz val="10"/>
        <rFont val="Calibri"/>
        <family val="2"/>
        <scheme val="minor"/>
      </rPr>
      <t xml:space="preserve"> (corrispondente RF7)</t>
    </r>
  </si>
  <si>
    <r>
      <rPr>
        <b/>
        <sz val="12"/>
        <rFont val="Calibri"/>
        <family val="2"/>
        <scheme val="minor"/>
      </rPr>
      <t>quote plusvalenze</t>
    </r>
    <r>
      <rPr>
        <sz val="12"/>
        <rFont val="Calibri"/>
        <family val="2"/>
        <scheme val="minor"/>
      </rPr>
      <t xml:space="preserve"> patrimoniali e </t>
    </r>
    <r>
      <rPr>
        <b/>
        <sz val="12"/>
        <rFont val="Calibri"/>
        <family val="2"/>
        <scheme val="minor"/>
      </rPr>
      <t>sopravvenienze attive</t>
    </r>
  </si>
  <si>
    <r>
      <t>spese vitto e alloggio e di rappresentanza deducibili</t>
    </r>
    <r>
      <rPr>
        <i/>
        <u/>
        <sz val="9"/>
        <rFont val="Calibri"/>
        <family val="2"/>
        <scheme val="minor"/>
      </rPr>
      <t xml:space="preserve"> </t>
    </r>
    <r>
      <rPr>
        <i/>
        <sz val="9"/>
        <rFont val="Calibri"/>
        <family val="2"/>
        <scheme val="minor"/>
      </rPr>
      <t>(corrispondente RF23)</t>
    </r>
  </si>
  <si>
    <r>
      <t xml:space="preserve">DEDUZIONE PER CAPITALE INVESTITO PROPRIO - </t>
    </r>
    <r>
      <rPr>
        <b/>
        <sz val="20"/>
        <rFont val="Calibri"/>
        <family val="2"/>
        <scheme val="minor"/>
      </rPr>
      <t xml:space="preserve">ACE </t>
    </r>
    <r>
      <rPr>
        <b/>
        <sz val="12"/>
        <rFont val="Calibri"/>
        <family val="2"/>
        <scheme val="minor"/>
      </rPr>
      <t xml:space="preserve">- </t>
    </r>
    <r>
      <rPr>
        <b/>
        <i/>
        <sz val="10"/>
        <rFont val="Calibri"/>
        <family val="2"/>
        <scheme val="minor"/>
      </rPr>
      <t>(RS113 col. 14 Redditi 2025)</t>
    </r>
  </si>
  <si>
    <t>II Acconto IRES NOVEMBRE 2026</t>
  </si>
  <si>
    <r>
      <t xml:space="preserve">Reddito concordato </t>
    </r>
    <r>
      <rPr>
        <b/>
        <sz val="10"/>
        <rFont val="Calibri"/>
        <family val="2"/>
        <scheme val="minor"/>
      </rPr>
      <t>(Rigo P06 o P07 Mod. CPB)</t>
    </r>
  </si>
  <si>
    <t>Punteggio ISA (*)</t>
  </si>
  <si>
    <t xml:space="preserve">       per CPB 2025/2026 rif. anno imposta 2024</t>
  </si>
  <si>
    <r>
      <rPr>
        <b/>
        <sz val="10"/>
        <rFont val="Calibri"/>
        <family val="2"/>
        <scheme val="minor"/>
      </rPr>
      <t>(*)</t>
    </r>
    <r>
      <rPr>
        <i/>
        <sz val="10"/>
        <rFont val="Calibri"/>
        <family val="2"/>
        <scheme val="minor"/>
      </rPr>
      <t>: per CPB 2024/2025 rif. anno imposta 2023</t>
    </r>
  </si>
  <si>
    <r>
      <rPr>
        <b/>
        <sz val="12"/>
        <rFont val="Calibri"/>
        <family val="2"/>
        <scheme val="minor"/>
      </rPr>
      <t>Reddito ante CPB rettificato</t>
    </r>
    <r>
      <rPr>
        <b/>
        <sz val="11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(Rigo P04 Mod. CPB)</t>
    </r>
  </si>
  <si>
    <t>QUADRO CP (CONCORDATO PREVENTIVO BIENNALE):  IMPOSTA SOSTITUTIVA (SEZ. I) - REDDITO CPB RETTIFICATO (SEZ. II)</t>
  </si>
  <si>
    <r>
      <t xml:space="preserve">int. passivi riportabili es. precedente </t>
    </r>
    <r>
      <rPr>
        <b/>
        <sz val="6"/>
        <rFont val="Calibri"/>
        <family val="2"/>
        <scheme val="minor"/>
      </rPr>
      <t>(RF 121 Mod. Redditi 2025)</t>
    </r>
  </si>
  <si>
    <r>
      <rPr>
        <sz val="10"/>
        <rFont val="Calibri"/>
        <family val="2"/>
        <scheme val="minor"/>
      </rPr>
      <t xml:space="preserve">eccedenza ROL </t>
    </r>
    <r>
      <rPr>
        <sz val="10"/>
        <rFont val="Calibri"/>
        <family val="2"/>
      </rPr>
      <t xml:space="preserve">esercizi precedenti </t>
    </r>
    <r>
      <rPr>
        <b/>
        <i/>
        <sz val="8"/>
        <rFont val="Calibri"/>
        <family val="2"/>
      </rPr>
      <t>(RF120-122 Redditi 2025)</t>
    </r>
  </si>
  <si>
    <t>col. 2A/2B</t>
  </si>
  <si>
    <t>TOTALE VARIAZIONI IN DIMINUZIONE</t>
  </si>
  <si>
    <t>I Acconto IRAP GIU/LUG 2026</t>
  </si>
  <si>
    <t>IR1 COL. 7</t>
  </si>
  <si>
    <r>
      <t>I M P O N I B I L E   I R A P  (</t>
    </r>
    <r>
      <rPr>
        <b/>
        <i/>
        <sz val="12"/>
        <rFont val="Calibri"/>
        <family val="2"/>
        <scheme val="minor"/>
      </rPr>
      <t xml:space="preserve">Valore della produzione netta </t>
    </r>
    <r>
      <rPr>
        <b/>
        <i/>
        <u/>
        <sz val="12"/>
        <rFont val="Calibri"/>
        <family val="2"/>
        <scheme val="minor"/>
      </rPr>
      <t>Rigo IC76</t>
    </r>
    <r>
      <rPr>
        <b/>
        <sz val="12"/>
        <rFont val="Calibri"/>
        <family val="2"/>
        <scheme val="minor"/>
      </rPr>
      <t>)</t>
    </r>
  </si>
  <si>
    <r>
      <t>COSTO LAVORO DIPENDENTE</t>
    </r>
    <r>
      <rPr>
        <b/>
        <sz val="10"/>
        <rFont val="Calibri"/>
        <family val="2"/>
      </rPr>
      <t xml:space="preserve"> 2024</t>
    </r>
  </si>
  <si>
    <t>COSTO CO.CO.CO E COMPENSI  AMMINISTR. 2024 (no Occasionali)</t>
  </si>
  <si>
    <r>
      <t xml:space="preserve">DEDUZIONI IRAP 2024 </t>
    </r>
    <r>
      <rPr>
        <i/>
        <sz val="10"/>
        <rFont val="Calibri"/>
        <family val="2"/>
      </rPr>
      <t>(</t>
    </r>
    <r>
      <rPr>
        <i/>
        <u/>
        <sz val="10"/>
        <rFont val="Calibri"/>
        <family val="2"/>
      </rPr>
      <t>tranne quelle per incremento occupazionale)</t>
    </r>
  </si>
  <si>
    <r>
      <t xml:space="preserve">COSTO LAVORO DIPENDENTE </t>
    </r>
    <r>
      <rPr>
        <b/>
        <sz val="10"/>
        <rFont val="Calibri"/>
        <family val="2"/>
      </rPr>
      <t>2025</t>
    </r>
  </si>
  <si>
    <r>
      <t>COSTO CO.CO.CO E COMPENSI  AMMINISTR. 2025 (</t>
    </r>
    <r>
      <rPr>
        <u/>
        <sz val="10"/>
        <rFont val="Calibri"/>
        <family val="2"/>
        <scheme val="minor"/>
      </rPr>
      <t>no Occasionali</t>
    </r>
    <r>
      <rPr>
        <sz val="10"/>
        <rFont val="Calibri"/>
        <family val="2"/>
        <scheme val="minor"/>
      </rPr>
      <t>)</t>
    </r>
  </si>
  <si>
    <t>DEDUZIONI IRAP 2025</t>
  </si>
  <si>
    <t>BASE IMPONIBILE IRAP 2025</t>
  </si>
  <si>
    <r>
      <t>attività commerciali/</t>
    </r>
    <r>
      <rPr>
        <b/>
        <sz val="11"/>
        <rFont val="Calibri"/>
        <family val="2"/>
        <scheme val="minor"/>
      </rPr>
      <t>lavoro autonomo occasionale</t>
    </r>
    <r>
      <rPr>
        <sz val="8"/>
        <rFont val="Calibri"/>
        <family val="2"/>
        <scheme val="minor"/>
      </rPr>
      <t xml:space="preserve"> e utili ad associati in partecipazione</t>
    </r>
  </si>
  <si>
    <r>
      <t xml:space="preserve">SALDO IRAP 2024 </t>
    </r>
    <r>
      <rPr>
        <b/>
        <u/>
        <sz val="10"/>
        <rFont val="Calibri"/>
        <family val="2"/>
        <scheme val="minor"/>
      </rPr>
      <t xml:space="preserve">VERSATO </t>
    </r>
    <r>
      <rPr>
        <b/>
        <sz val="10"/>
        <rFont val="Calibri"/>
        <family val="2"/>
        <scheme val="minor"/>
      </rPr>
      <t>NEL 2025</t>
    </r>
  </si>
  <si>
    <r>
      <t xml:space="preserve">ACCONTI IRAP 2025 </t>
    </r>
    <r>
      <rPr>
        <b/>
        <u/>
        <sz val="10"/>
        <rFont val="Calibri"/>
        <family val="2"/>
        <scheme val="minor"/>
      </rPr>
      <t>VERSATI</t>
    </r>
    <r>
      <rPr>
        <b/>
        <sz val="10"/>
        <rFont val="Calibri"/>
        <family val="2"/>
        <scheme val="minor"/>
      </rPr>
      <t xml:space="preserve"> NEL 2025</t>
    </r>
  </si>
  <si>
    <t>IRAP DI COMPETENZA 2025</t>
  </si>
  <si>
    <t>QUOTA IRAP 2025 DEDUCIBILE TEORICA</t>
  </si>
  <si>
    <t>QUOTA IRAP 2025 DEDUCIBILE MASSIMA</t>
  </si>
  <si>
    <t>(solo se interessi passivi 2024 e/o 2025 maggiori degli interessi attivi)</t>
  </si>
  <si>
    <r>
      <t>SALDO IRAP 2024</t>
    </r>
    <r>
      <rPr>
        <b/>
        <u/>
        <sz val="11"/>
        <rFont val="Calibri"/>
        <family val="2"/>
        <scheme val="minor"/>
      </rPr>
      <t xml:space="preserve"> VERSATO</t>
    </r>
    <r>
      <rPr>
        <b/>
        <sz val="11"/>
        <rFont val="Calibri"/>
        <family val="2"/>
        <scheme val="minor"/>
      </rPr>
      <t xml:space="preserve"> NEL 2025</t>
    </r>
  </si>
  <si>
    <r>
      <t>ACCONTI IRAP 2025</t>
    </r>
    <r>
      <rPr>
        <b/>
        <u/>
        <sz val="11"/>
        <rFont val="Calibri"/>
        <family val="2"/>
        <scheme val="minor"/>
      </rPr>
      <t xml:space="preserve"> VERSATI</t>
    </r>
    <r>
      <rPr>
        <b/>
        <sz val="11"/>
        <rFont val="Calibri"/>
        <family val="2"/>
        <scheme val="minor"/>
      </rPr>
      <t xml:space="preserve"> NEL 2025</t>
    </r>
  </si>
  <si>
    <t>per il 2024 (saldo) e/o per il 2025 (acconti),</t>
  </si>
  <si>
    <r>
      <t xml:space="preserve">del bil. UE </t>
    </r>
    <r>
      <rPr>
        <b/>
        <u/>
        <sz val="10"/>
        <color indexed="10"/>
        <rFont val="Calibri"/>
        <family val="2"/>
      </rPr>
      <t>deve presentare</t>
    </r>
    <r>
      <rPr>
        <b/>
        <sz val="10"/>
        <color indexed="10"/>
        <rFont val="Calibri"/>
        <family val="2"/>
      </rPr>
      <t xml:space="preserve"> un saldo negativo</t>
    </r>
  </si>
  <si>
    <t>(RS45 col.6 Mod. Redditi 2025)</t>
  </si>
  <si>
    <t>(RS44 col. 6 Mod. Redditi 2025)</t>
  </si>
  <si>
    <t>II Acconto IRAP NOVEMBRE 2026</t>
  </si>
  <si>
    <t>I Acconto IRES GIU/LUG 2026</t>
  </si>
  <si>
    <r>
      <t>IMPOSTE DA VERSARE AL</t>
    </r>
    <r>
      <rPr>
        <b/>
        <u/>
        <sz val="11"/>
        <color indexed="10"/>
        <rFont val="Calibri"/>
        <family val="2"/>
        <scheme val="minor"/>
      </rPr>
      <t xml:space="preserve"> 30 GIUGNO o AL 30 LUGLIO </t>
    </r>
    <r>
      <rPr>
        <b/>
        <u/>
        <sz val="9"/>
        <color indexed="10"/>
        <rFont val="Calibri"/>
        <family val="2"/>
        <scheme val="minor"/>
      </rPr>
      <t>(Magg.ne 0,4%)</t>
    </r>
    <r>
      <rPr>
        <b/>
        <u/>
        <sz val="11"/>
        <color indexed="10"/>
        <rFont val="Calibri"/>
        <family val="2"/>
        <scheme val="minor"/>
      </rPr>
      <t xml:space="preserve"> 2026</t>
    </r>
    <r>
      <rPr>
        <b/>
        <sz val="11"/>
        <color indexed="10"/>
        <rFont val="Calibri"/>
        <family val="2"/>
        <scheme val="minor"/>
      </rPr>
      <t xml:space="preserve"> (</t>
    </r>
    <r>
      <rPr>
        <b/>
        <i/>
        <sz val="11"/>
        <color rgb="FFFF0000"/>
        <rFont val="Calibri"/>
        <family val="2"/>
        <scheme val="minor"/>
      </rPr>
      <t>saldo 2025 e 1° acconto 2026</t>
    </r>
    <r>
      <rPr>
        <b/>
        <sz val="11"/>
        <color indexed="10"/>
        <rFont val="Calibri"/>
        <family val="2"/>
        <scheme val="minor"/>
      </rPr>
      <t>)</t>
    </r>
  </si>
  <si>
    <r>
      <t xml:space="preserve">IMPOSTE DA VERSARE </t>
    </r>
    <r>
      <rPr>
        <b/>
        <u/>
        <sz val="12"/>
        <color indexed="10"/>
        <rFont val="Calibri"/>
        <family val="2"/>
        <scheme val="minor"/>
      </rPr>
      <t>AL 30 NOVEMBRE 2026</t>
    </r>
    <r>
      <rPr>
        <b/>
        <i/>
        <sz val="12"/>
        <color rgb="FFFF0000"/>
        <rFont val="Calibri"/>
        <family val="2"/>
        <scheme val="minor"/>
      </rPr>
      <t xml:space="preserve"> (2° acconto 2026)</t>
    </r>
  </si>
  <si>
    <t xml:space="preserve">     1,5% fino a 10 milioni di euro, 0,6% tra 10 e 50 milioni, 0,4% oltre i 50 milioni.</t>
  </si>
  <si>
    <r>
      <t xml:space="preserve">    </t>
    </r>
    <r>
      <rPr>
        <b/>
        <sz val="8"/>
        <rFont val="Calibri"/>
        <family val="2"/>
      </rPr>
      <t>N.B.:</t>
    </r>
    <r>
      <rPr>
        <sz val="8"/>
        <rFont val="Calibri"/>
        <family val="2"/>
      </rPr>
      <t xml:space="preserve"> per le spese di rappresentanza verificare sempre il </t>
    </r>
    <r>
      <rPr>
        <b/>
        <u val="singleAccounting"/>
        <sz val="9"/>
        <rFont val="Calibri"/>
        <family val="2"/>
      </rPr>
      <t>limite percentuale di detraibilita calcolato sui ricavi:</t>
    </r>
  </si>
  <si>
    <t>IMPOSTA SOST. CPB</t>
  </si>
  <si>
    <t>ERARIO C/IMPOSTA SOSTITUTIVA CPB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</si>
</sst>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_-&quot;€&quot;\ * #,##0.00_-;\-&quot;€&quot;\ * #,##0.00_-;_-&quot;€&quot;\ * &quot;-&quot;??_-;_-@_-"/>
    <numFmt numFmtId="165" formatCode="_-&quot;L.&quot;\ * #,##0_-;\-&quot;L.&quot;\ * #,##0_-;_-&quot;L.&quot;\ * &quot;-&quot;_-;_-@_-"/>
    <numFmt numFmtId="166" formatCode="_-&quot;L.&quot;\ * #,##0.00_-;\-&quot;L.&quot;\ * #,##0.00_-;_-&quot;L.&quot;\ * &quot;-&quot;??_-;_-@_-"/>
    <numFmt numFmtId="167" formatCode="#,##0.0"/>
    <numFmt numFmtId="168" formatCode="_-[$€-2]\ * #,##0.00_-;\-[$€-2]\ * #,##0.00_-;_-[$€-2]\ * &quot;-&quot;??_-"/>
    <numFmt numFmtId="169" formatCode="_-[$€-2]\ * #,##0.00_-;\-[$€-2]\ * #,##0.00_-;_-[$€-2]\ * &quot;-&quot;??_-;_-@_-"/>
    <numFmt numFmtId="170" formatCode="0;[Red]0"/>
    <numFmt numFmtId="171" formatCode="[$€-2]\ #,##0.00;[Red]\-[$€-2]\ #,##0.00"/>
    <numFmt numFmtId="172" formatCode="#,##0.00_ ;\-#,##0.00\ "/>
  </numFmts>
  <fonts count="1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b/>
      <u/>
      <sz val="8"/>
      <color indexed="81"/>
      <name val="Tahoma"/>
      <family val="2"/>
    </font>
    <font>
      <sz val="8"/>
      <name val="Calibri"/>
      <family val="2"/>
    </font>
    <font>
      <b/>
      <sz val="12"/>
      <name val="Calibri"/>
      <family val="2"/>
    </font>
    <font>
      <sz val="10"/>
      <name val="Calibri"/>
      <family val="2"/>
    </font>
    <font>
      <b/>
      <sz val="8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i/>
      <sz val="8"/>
      <name val="Calibri"/>
      <family val="2"/>
    </font>
    <font>
      <b/>
      <sz val="11"/>
      <name val="Calibri"/>
      <family val="2"/>
    </font>
    <font>
      <b/>
      <i/>
      <sz val="10"/>
      <name val="Calibri"/>
      <family val="2"/>
    </font>
    <font>
      <b/>
      <u val="singleAccounting"/>
      <sz val="8"/>
      <name val="Calibri"/>
      <family val="2"/>
    </font>
    <font>
      <i/>
      <u/>
      <sz val="10"/>
      <name val="Calibri"/>
      <family val="2"/>
    </font>
    <font>
      <sz val="10"/>
      <color indexed="12"/>
      <name val="Calibri"/>
      <family val="2"/>
    </font>
    <font>
      <b/>
      <u val="singleAccounting"/>
      <sz val="12"/>
      <name val="Calibri"/>
      <family val="2"/>
    </font>
    <font>
      <b/>
      <i/>
      <u val="singleAccounting"/>
      <sz val="12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b/>
      <i/>
      <sz val="8"/>
      <name val="Calibri"/>
      <family val="2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7"/>
      <name val="Calibri"/>
      <family val="2"/>
      <scheme val="minor"/>
    </font>
    <font>
      <b/>
      <sz val="6"/>
      <name val="Calibri"/>
      <family val="2"/>
      <scheme val="minor"/>
    </font>
    <font>
      <sz val="7"/>
      <name val="Calibri"/>
      <family val="2"/>
      <scheme val="minor"/>
    </font>
    <font>
      <b/>
      <sz val="9"/>
      <color indexed="52"/>
      <name val="Calibri"/>
      <family val="2"/>
      <scheme val="minor"/>
    </font>
    <font>
      <b/>
      <sz val="10"/>
      <color indexed="53"/>
      <name val="Calibri"/>
      <family val="2"/>
      <scheme val="minor"/>
    </font>
    <font>
      <sz val="14"/>
      <name val="Calibri"/>
      <family val="2"/>
      <scheme val="minor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indexed="57"/>
      <name val="Calibri"/>
      <family val="2"/>
      <scheme val="minor"/>
    </font>
    <font>
      <sz val="1"/>
      <name val="Calibri"/>
      <family val="2"/>
      <scheme val="minor"/>
    </font>
    <font>
      <b/>
      <u/>
      <sz val="8"/>
      <name val="Calibri"/>
      <family val="2"/>
      <scheme val="minor"/>
    </font>
    <font>
      <b/>
      <i/>
      <sz val="8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0"/>
      <color indexed="53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indexed="9"/>
      <name val="Calibri"/>
      <family val="2"/>
      <scheme val="minor"/>
    </font>
    <font>
      <b/>
      <i/>
      <sz val="12"/>
      <name val="Calibri"/>
      <family val="2"/>
      <scheme val="minor"/>
    </font>
    <font>
      <i/>
      <sz val="9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name val="Calibri"/>
      <family val="2"/>
      <scheme val="minor"/>
    </font>
    <font>
      <b/>
      <u/>
      <sz val="16"/>
      <color indexed="10"/>
      <name val="Calibri"/>
      <family val="2"/>
      <scheme val="minor"/>
    </font>
    <font>
      <i/>
      <sz val="14"/>
      <color indexed="10"/>
      <name val="Calibri"/>
      <family val="2"/>
      <scheme val="minor"/>
    </font>
    <font>
      <b/>
      <i/>
      <sz val="14"/>
      <color indexed="10"/>
      <name val="Calibri"/>
      <family val="2"/>
      <scheme val="minor"/>
    </font>
    <font>
      <u/>
      <sz val="9"/>
      <name val="Calibri"/>
      <family val="2"/>
      <scheme val="minor"/>
    </font>
    <font>
      <sz val="7"/>
      <color indexed="48"/>
      <name val="Calibri"/>
      <family val="2"/>
      <scheme val="minor"/>
    </font>
    <font>
      <i/>
      <sz val="10"/>
      <color indexed="48"/>
      <name val="Calibri"/>
      <family val="2"/>
      <scheme val="minor"/>
    </font>
    <font>
      <b/>
      <sz val="10"/>
      <color indexed="48"/>
      <name val="Calibri"/>
      <family val="2"/>
      <scheme val="minor"/>
    </font>
    <font>
      <sz val="9"/>
      <color indexed="9"/>
      <name val="Calibri"/>
      <family val="2"/>
      <scheme val="minor"/>
    </font>
    <font>
      <sz val="7"/>
      <color indexed="40"/>
      <name val="Calibri"/>
      <family val="2"/>
      <scheme val="minor"/>
    </font>
    <font>
      <sz val="11"/>
      <name val="Calibri"/>
      <family val="2"/>
      <scheme val="minor"/>
    </font>
    <font>
      <b/>
      <sz val="1"/>
      <name val="Calibri"/>
      <family val="2"/>
      <scheme val="minor"/>
    </font>
    <font>
      <sz val="10"/>
      <color indexed="10"/>
      <name val="Calibri"/>
      <family val="2"/>
      <scheme val="minor"/>
    </font>
    <font>
      <sz val="8"/>
      <color indexed="48"/>
      <name val="Calibri"/>
      <family val="2"/>
      <scheme val="minor"/>
    </font>
    <font>
      <b/>
      <sz val="12"/>
      <color indexed="10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b/>
      <i/>
      <sz val="7"/>
      <name val="Calibri"/>
      <family val="2"/>
      <scheme val="minor"/>
    </font>
    <font>
      <b/>
      <sz val="14"/>
      <color indexed="48"/>
      <name val="Calibri"/>
      <family val="2"/>
      <scheme val="minor"/>
    </font>
    <font>
      <b/>
      <i/>
      <sz val="11"/>
      <color indexed="53"/>
      <name val="Calibri"/>
      <family val="2"/>
      <scheme val="minor"/>
    </font>
    <font>
      <b/>
      <i/>
      <sz val="11"/>
      <color indexed="17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1"/>
      <name val="Calibri"/>
      <family val="2"/>
      <scheme val="minor"/>
    </font>
    <font>
      <sz val="11"/>
      <color indexed="12"/>
      <name val="Calibri"/>
      <family val="2"/>
      <scheme val="minor"/>
    </font>
    <font>
      <i/>
      <sz val="11"/>
      <color indexed="48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4"/>
      <color indexed="12"/>
      <name val="Calibri"/>
      <family val="2"/>
      <scheme val="minor"/>
    </font>
    <font>
      <i/>
      <sz val="8"/>
      <name val="Calibri"/>
      <family val="2"/>
      <scheme val="minor"/>
    </font>
    <font>
      <sz val="10"/>
      <color indexed="12"/>
      <name val="Calibri"/>
      <family val="2"/>
      <scheme val="minor"/>
    </font>
    <font>
      <b/>
      <u/>
      <sz val="14"/>
      <name val="Calibri"/>
      <family val="2"/>
      <scheme val="minor"/>
    </font>
    <font>
      <b/>
      <i/>
      <u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u/>
      <sz val="26"/>
      <name val="Calibri"/>
      <family val="2"/>
      <scheme val="minor"/>
    </font>
    <font>
      <b/>
      <u val="singleAccounting"/>
      <sz val="9"/>
      <name val="Calibri"/>
      <family val="2"/>
    </font>
    <font>
      <b/>
      <sz val="20"/>
      <name val="Calibri"/>
      <family val="2"/>
      <scheme val="minor"/>
    </font>
    <font>
      <i/>
      <sz val="7"/>
      <name val="Calibri"/>
      <family val="2"/>
      <scheme val="minor"/>
    </font>
    <font>
      <u/>
      <sz val="10"/>
      <name val="Calibri"/>
      <family val="2"/>
      <scheme val="minor"/>
    </font>
    <font>
      <b/>
      <u/>
      <sz val="12"/>
      <color indexed="10"/>
      <name val="Calibri"/>
      <family val="2"/>
      <scheme val="minor"/>
    </font>
    <font>
      <sz val="9"/>
      <color indexed="81"/>
      <name val="Tahoma"/>
      <family val="2"/>
    </font>
    <font>
      <u/>
      <sz val="9"/>
      <color indexed="81"/>
      <name val="Tahoma"/>
      <family val="2"/>
    </font>
    <font>
      <sz val="9"/>
      <color indexed="10"/>
      <name val="Calibri"/>
      <family val="2"/>
      <scheme val="minor"/>
    </font>
    <font>
      <sz val="9"/>
      <color rgb="FFFF0000"/>
      <name val="Calibri"/>
      <family val="2"/>
      <scheme val="minor"/>
    </font>
    <font>
      <sz val="9.5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u/>
      <sz val="11"/>
      <color indexed="10"/>
      <name val="Calibri"/>
      <family val="2"/>
      <scheme val="minor"/>
    </font>
    <font>
      <b/>
      <u/>
      <sz val="9"/>
      <color indexed="10"/>
      <name val="Calibri"/>
      <family val="2"/>
      <scheme val="minor"/>
    </font>
    <font>
      <b/>
      <u/>
      <sz val="9"/>
      <color indexed="81"/>
      <name val="Tahoma"/>
      <family val="2"/>
    </font>
    <font>
      <u/>
      <sz val="11"/>
      <name val="Calibri"/>
      <family val="2"/>
      <scheme val="minor"/>
    </font>
    <font>
      <sz val="12"/>
      <name val="Calibri"/>
      <family val="2"/>
    </font>
    <font>
      <b/>
      <u val="singleAccounting"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i/>
      <sz val="11"/>
      <color indexed="48"/>
      <name val="Calibri"/>
      <family val="2"/>
      <scheme val="minor"/>
    </font>
    <font>
      <b/>
      <i/>
      <sz val="11"/>
      <color rgb="FF3366FF"/>
      <name val="Calibri"/>
      <family val="2"/>
      <scheme val="minor"/>
    </font>
    <font>
      <b/>
      <sz val="10"/>
      <color indexed="12"/>
      <name val="Calibri"/>
      <family val="2"/>
      <scheme val="minor"/>
    </font>
    <font>
      <i/>
      <sz val="11"/>
      <color rgb="FF3366FF"/>
      <name val="Calibri"/>
      <family val="2"/>
      <scheme val="minor"/>
    </font>
    <font>
      <u/>
      <sz val="10"/>
      <color theme="10"/>
      <name val="Arial"/>
      <family val="2"/>
    </font>
    <font>
      <u/>
      <sz val="8"/>
      <color theme="10"/>
      <name val="Arial"/>
      <family val="2"/>
    </font>
    <font>
      <b/>
      <i/>
      <sz val="10"/>
      <color theme="1"/>
      <name val="Calibri"/>
      <family val="2"/>
      <scheme val="minor"/>
    </font>
    <font>
      <b/>
      <i/>
      <u/>
      <sz val="10"/>
      <name val="Calibri"/>
      <family val="2"/>
      <scheme val="minor"/>
    </font>
    <font>
      <b/>
      <i/>
      <sz val="14"/>
      <name val="Calibri"/>
      <family val="2"/>
      <scheme val="minor"/>
    </font>
    <font>
      <b/>
      <u/>
      <sz val="11"/>
      <name val="Calibri"/>
      <family val="2"/>
    </font>
    <font>
      <b/>
      <u/>
      <sz val="12"/>
      <name val="Calibri"/>
      <family val="2"/>
      <scheme val="minor"/>
    </font>
    <font>
      <b/>
      <u/>
      <sz val="16"/>
      <name val="Calibri"/>
      <family val="2"/>
      <scheme val="minor"/>
    </font>
    <font>
      <b/>
      <sz val="10"/>
      <name val="Arial"/>
      <family val="2"/>
    </font>
    <font>
      <sz val="14"/>
      <name val="Calibri"/>
      <family val="2"/>
    </font>
    <font>
      <b/>
      <u/>
      <sz val="7"/>
      <name val="Calibri"/>
      <family val="2"/>
      <scheme val="minor"/>
    </font>
    <font>
      <b/>
      <i/>
      <sz val="16"/>
      <name val="Calibri"/>
      <family val="2"/>
      <scheme val="minor"/>
    </font>
    <font>
      <sz val="20"/>
      <name val="Calibri"/>
      <family val="2"/>
      <scheme val="minor"/>
    </font>
    <font>
      <b/>
      <i/>
      <u/>
      <sz val="16"/>
      <color indexed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indexed="10"/>
      <name val="Calibri"/>
      <family val="2"/>
      <scheme val="minor"/>
    </font>
    <font>
      <b/>
      <sz val="7"/>
      <name val="Arial"/>
      <family val="2"/>
    </font>
    <font>
      <b/>
      <i/>
      <sz val="10"/>
      <color rgb="FFFF000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indexed="81"/>
      <name val="Tahoma"/>
      <family val="2"/>
    </font>
    <font>
      <b/>
      <i/>
      <sz val="9"/>
      <color indexed="81"/>
      <name val="Tahoma"/>
      <family val="2"/>
    </font>
    <font>
      <i/>
      <u/>
      <sz val="9"/>
      <color indexed="81"/>
      <name val="Tahoma"/>
      <family val="2"/>
    </font>
    <font>
      <b/>
      <i/>
      <sz val="12"/>
      <name val="Calibri"/>
      <family val="2"/>
    </font>
    <font>
      <u/>
      <sz val="12"/>
      <name val="Calibri"/>
      <family val="2"/>
    </font>
    <font>
      <sz val="8.5"/>
      <name val="Calibri"/>
      <family val="2"/>
      <scheme val="minor"/>
    </font>
    <font>
      <u/>
      <sz val="8.5"/>
      <name val="Calibri"/>
      <family val="2"/>
      <scheme val="minor"/>
    </font>
    <font>
      <b/>
      <sz val="9.5"/>
      <name val="Calibri"/>
      <family val="2"/>
      <scheme val="minor"/>
    </font>
    <font>
      <sz val="8.3000000000000007"/>
      <name val="Calibri"/>
      <family val="2"/>
      <scheme val="minor"/>
    </font>
    <font>
      <b/>
      <sz val="8.3000000000000007"/>
      <name val="Calibri"/>
      <family val="2"/>
      <scheme val="minor"/>
    </font>
    <font>
      <i/>
      <u/>
      <sz val="9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u/>
      <sz val="10"/>
      <color indexed="10"/>
      <name val="Calibri"/>
      <family val="2"/>
    </font>
    <font>
      <b/>
      <sz val="10"/>
      <color indexed="10"/>
      <name val="Calibri"/>
      <family val="2"/>
    </font>
    <font>
      <b/>
      <u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7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gradientFill type="path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00B050"/>
        </stop>
      </gradientFill>
    </fill>
    <fill>
      <gradientFill type="path">
        <stop position="0">
          <color theme="0"/>
        </stop>
        <stop position="1">
          <color rgb="FF00B050"/>
        </stop>
      </gradientFill>
    </fill>
    <fill>
      <gradientFill degree="90">
        <stop position="0">
          <color theme="0"/>
        </stop>
        <stop position="1">
          <color rgb="FFFFFF00"/>
        </stop>
      </gradientFill>
    </fill>
    <fill>
      <patternFill patternType="solid">
        <fgColor rgb="FFFFFF00"/>
      </patternFill>
    </fill>
    <fill>
      <gradientFill type="path">
        <stop position="0">
          <color theme="0"/>
        </stop>
        <stop position="1">
          <color rgb="FF00B0F0"/>
        </stop>
      </gradient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6337778862885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8" tint="0.59999389629810485"/>
        </stop>
      </gradientFill>
    </fill>
    <fill>
      <gradientFill type="path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5" tint="0.40000610370189521"/>
        </stop>
      </gradient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/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slantDashDot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DashDotDot">
        <color indexed="64"/>
      </left>
      <right/>
      <top style="mediumDashDotDot">
        <color indexed="64"/>
      </top>
      <bottom style="mediumDashDotDot">
        <color indexed="64"/>
      </bottom>
      <diagonal/>
    </border>
    <border>
      <left/>
      <right/>
      <top style="mediumDashDotDot">
        <color indexed="64"/>
      </top>
      <bottom style="mediumDashDotDot">
        <color indexed="64"/>
      </bottom>
      <diagonal/>
    </border>
  </borders>
  <cellStyleXfs count="17">
    <xf numFmtId="0" fontId="0" fillId="0" borderId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09" fillId="0" borderId="0" applyNumberFormat="0" applyFill="0" applyBorder="0" applyAlignment="0" applyProtection="0"/>
  </cellStyleXfs>
  <cellXfs count="518">
    <xf numFmtId="0" fontId="0" fillId="0" borderId="0" xfId="0"/>
    <xf numFmtId="0" fontId="24" fillId="0" borderId="0" xfId="0" applyFont="1"/>
    <xf numFmtId="0" fontId="25" fillId="0" borderId="45" xfId="0" applyFont="1" applyBorder="1"/>
    <xf numFmtId="0" fontId="26" fillId="0" borderId="0" xfId="0" applyFont="1"/>
    <xf numFmtId="0" fontId="27" fillId="0" borderId="1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3" fontId="28" fillId="0" borderId="2" xfId="0" applyNumberFormat="1" applyFont="1" applyBorder="1" applyAlignment="1">
      <alignment horizontal="center"/>
    </xf>
    <xf numFmtId="3" fontId="26" fillId="0" borderId="0" xfId="0" applyNumberFormat="1" applyFont="1"/>
    <xf numFmtId="0" fontId="29" fillId="0" borderId="3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3" fontId="28" fillId="0" borderId="4" xfId="0" applyNumberFormat="1" applyFont="1" applyBorder="1" applyAlignment="1">
      <alignment horizontal="center"/>
    </xf>
    <xf numFmtId="0" fontId="30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3" fontId="28" fillId="0" borderId="0" xfId="0" applyNumberFormat="1" applyFont="1" applyAlignment="1">
      <alignment horizontal="center"/>
    </xf>
    <xf numFmtId="3" fontId="26" fillId="2" borderId="5" xfId="0" applyNumberFormat="1" applyFont="1" applyFill="1" applyBorder="1"/>
    <xf numFmtId="3" fontId="26" fillId="2" borderId="0" xfId="0" applyNumberFormat="1" applyFont="1" applyFill="1"/>
    <xf numFmtId="3" fontId="26" fillId="2" borderId="6" xfId="0" applyNumberFormat="1" applyFont="1" applyFill="1" applyBorder="1"/>
    <xf numFmtId="0" fontId="26" fillId="0" borderId="0" xfId="0" applyFont="1" applyAlignment="1">
      <alignment horizontal="center"/>
    </xf>
    <xf numFmtId="3" fontId="26" fillId="0" borderId="0" xfId="0" applyNumberFormat="1" applyFont="1" applyAlignment="1">
      <alignment horizontal="center"/>
    </xf>
    <xf numFmtId="168" fontId="26" fillId="0" borderId="0" xfId="1" applyFont="1" applyBorder="1" applyAlignment="1"/>
    <xf numFmtId="0" fontId="27" fillId="0" borderId="0" xfId="0" applyFont="1"/>
    <xf numFmtId="168" fontId="26" fillId="0" borderId="0" xfId="1" applyFont="1" applyAlignment="1"/>
    <xf numFmtId="168" fontId="26" fillId="0" borderId="0" xfId="1" applyFont="1"/>
    <xf numFmtId="3" fontId="26" fillId="3" borderId="5" xfId="0" applyNumberFormat="1" applyFont="1" applyFill="1" applyBorder="1"/>
    <xf numFmtId="3" fontId="26" fillId="3" borderId="6" xfId="0" applyNumberFormat="1" applyFont="1" applyFill="1" applyBorder="1"/>
    <xf numFmtId="0" fontId="31" fillId="0" borderId="0" xfId="0" applyFont="1"/>
    <xf numFmtId="0" fontId="28" fillId="0" borderId="0" xfId="0" applyFont="1"/>
    <xf numFmtId="0" fontId="32" fillId="0" borderId="0" xfId="0" applyFont="1"/>
    <xf numFmtId="0" fontId="33" fillId="3" borderId="0" xfId="0" applyFont="1" applyFill="1"/>
    <xf numFmtId="168" fontId="26" fillId="0" borderId="0" xfId="1" applyFont="1" applyBorder="1"/>
    <xf numFmtId="168" fontId="26" fillId="4" borderId="0" xfId="1" applyFont="1" applyFill="1" applyBorder="1"/>
    <xf numFmtId="0" fontId="29" fillId="0" borderId="0" xfId="0" applyFont="1" applyAlignment="1">
      <alignment horizontal="right"/>
    </xf>
    <xf numFmtId="168" fontId="26" fillId="4" borderId="0" xfId="1" applyFont="1" applyFill="1"/>
    <xf numFmtId="3" fontId="34" fillId="2" borderId="5" xfId="0" applyNumberFormat="1" applyFont="1" applyFill="1" applyBorder="1"/>
    <xf numFmtId="0" fontId="34" fillId="2" borderId="0" xfId="0" applyFont="1" applyFill="1"/>
    <xf numFmtId="3" fontId="34" fillId="2" borderId="6" xfId="0" applyNumberFormat="1" applyFont="1" applyFill="1" applyBorder="1"/>
    <xf numFmtId="3" fontId="34" fillId="2" borderId="0" xfId="0" applyNumberFormat="1" applyFont="1" applyFill="1"/>
    <xf numFmtId="3" fontId="26" fillId="2" borderId="7" xfId="0" applyNumberFormat="1" applyFont="1" applyFill="1" applyBorder="1"/>
    <xf numFmtId="3" fontId="26" fillId="2" borderId="8" xfId="0" applyNumberFormat="1" applyFont="1" applyFill="1" applyBorder="1"/>
    <xf numFmtId="3" fontId="26" fillId="2" borderId="9" xfId="0" applyNumberFormat="1" applyFont="1" applyFill="1" applyBorder="1"/>
    <xf numFmtId="0" fontId="35" fillId="0" borderId="0" xfId="0" applyFont="1"/>
    <xf numFmtId="168" fontId="36" fillId="0" borderId="0" xfId="1" applyFont="1" applyFill="1"/>
    <xf numFmtId="3" fontId="36" fillId="0" borderId="0" xfId="0" applyNumberFormat="1" applyFont="1"/>
    <xf numFmtId="0" fontId="36" fillId="0" borderId="0" xfId="0" applyFont="1"/>
    <xf numFmtId="168" fontId="26" fillId="0" borderId="10" xfId="1" applyFont="1" applyBorder="1"/>
    <xf numFmtId="0" fontId="37" fillId="0" borderId="0" xfId="0" applyFont="1"/>
    <xf numFmtId="168" fontId="26" fillId="5" borderId="0" xfId="1" applyFont="1" applyFill="1"/>
    <xf numFmtId="168" fontId="26" fillId="0" borderId="0" xfId="1" applyFont="1" applyFill="1"/>
    <xf numFmtId="168" fontId="28" fillId="0" borderId="0" xfId="1" applyFont="1" applyFill="1" applyBorder="1"/>
    <xf numFmtId="168" fontId="36" fillId="0" borderId="0" xfId="1" applyFont="1" applyFill="1" applyBorder="1"/>
    <xf numFmtId="0" fontId="26" fillId="6" borderId="0" xfId="0" applyFont="1" applyFill="1"/>
    <xf numFmtId="168" fontId="38" fillId="0" borderId="0" xfId="1" applyFont="1" applyFill="1"/>
    <xf numFmtId="0" fontId="28" fillId="2" borderId="0" xfId="0" applyFont="1" applyFill="1"/>
    <xf numFmtId="9" fontId="26" fillId="5" borderId="0" xfId="1" applyNumberFormat="1" applyFont="1" applyFill="1" applyAlignment="1">
      <alignment horizontal="center"/>
    </xf>
    <xf numFmtId="168" fontId="26" fillId="0" borderId="10" xfId="1" applyFont="1" applyFill="1" applyBorder="1"/>
    <xf numFmtId="0" fontId="26" fillId="7" borderId="0" xfId="0" applyFont="1" applyFill="1"/>
    <xf numFmtId="168" fontId="26" fillId="7" borderId="0" xfId="1" applyFont="1" applyFill="1"/>
    <xf numFmtId="168" fontId="26" fillId="0" borderId="11" xfId="1" applyFont="1" applyBorder="1"/>
    <xf numFmtId="168" fontId="26" fillId="0" borderId="0" xfId="1" applyFont="1" applyFill="1" applyBorder="1"/>
    <xf numFmtId="3" fontId="39" fillId="8" borderId="12" xfId="0" applyNumberFormat="1" applyFont="1" applyFill="1" applyBorder="1"/>
    <xf numFmtId="3" fontId="40" fillId="0" borderId="0" xfId="0" applyNumberFormat="1" applyFont="1"/>
    <xf numFmtId="0" fontId="28" fillId="0" borderId="13" xfId="0" applyFont="1" applyBorder="1"/>
    <xf numFmtId="168" fontId="41" fillId="4" borderId="14" xfId="1" applyFont="1" applyFill="1" applyBorder="1"/>
    <xf numFmtId="168" fontId="41" fillId="4" borderId="3" xfId="1" applyFont="1" applyFill="1" applyBorder="1"/>
    <xf numFmtId="3" fontId="24" fillId="8" borderId="15" xfId="0" applyNumberFormat="1" applyFont="1" applyFill="1" applyBorder="1"/>
    <xf numFmtId="168" fontId="26" fillId="0" borderId="10" xfId="1" applyFont="1" applyFill="1" applyBorder="1" applyAlignment="1">
      <alignment vertical="center"/>
    </xf>
    <xf numFmtId="0" fontId="28" fillId="0" borderId="0" xfId="0" applyFont="1" applyAlignment="1">
      <alignment horizontal="right"/>
    </xf>
    <xf numFmtId="168" fontId="26" fillId="0" borderId="16" xfId="1" applyFont="1" applyBorder="1"/>
    <xf numFmtId="168" fontId="42" fillId="0" borderId="13" xfId="1" applyFont="1" applyBorder="1"/>
    <xf numFmtId="168" fontId="43" fillId="4" borderId="0" xfId="1" applyFont="1" applyFill="1" applyBorder="1"/>
    <xf numFmtId="168" fontId="28" fillId="4" borderId="14" xfId="1" applyFont="1" applyFill="1" applyBorder="1"/>
    <xf numFmtId="3" fontId="28" fillId="4" borderId="0" xfId="0" applyNumberFormat="1" applyFont="1" applyFill="1" applyAlignment="1">
      <alignment horizontal="center"/>
    </xf>
    <xf numFmtId="0" fontId="28" fillId="0" borderId="0" xfId="0" applyFont="1" applyAlignment="1">
      <alignment vertical="center"/>
    </xf>
    <xf numFmtId="168" fontId="42" fillId="0" borderId="0" xfId="1" applyFont="1" applyFill="1" applyBorder="1"/>
    <xf numFmtId="0" fontId="44" fillId="0" borderId="0" xfId="0" applyFont="1"/>
    <xf numFmtId="168" fontId="45" fillId="0" borderId="0" xfId="1" applyFont="1" applyFill="1"/>
    <xf numFmtId="0" fontId="46" fillId="9" borderId="17" xfId="0" applyFont="1" applyFill="1" applyBorder="1" applyAlignment="1">
      <alignment horizontal="center"/>
    </xf>
    <xf numFmtId="168" fontId="47" fillId="0" borderId="0" xfId="1" applyFont="1" applyFill="1" applyBorder="1" applyAlignment="1"/>
    <xf numFmtId="3" fontId="47" fillId="0" borderId="0" xfId="0" applyNumberFormat="1" applyFont="1" applyAlignment="1">
      <alignment horizontal="center"/>
    </xf>
    <xf numFmtId="168" fontId="35" fillId="0" borderId="0" xfId="1" applyFont="1" applyBorder="1" applyAlignment="1"/>
    <xf numFmtId="3" fontId="36" fillId="10" borderId="0" xfId="0" applyNumberFormat="1" applyFont="1" applyFill="1" applyAlignment="1">
      <alignment horizontal="center"/>
    </xf>
    <xf numFmtId="3" fontId="35" fillId="0" borderId="0" xfId="0" applyNumberFormat="1" applyFont="1" applyAlignment="1">
      <alignment horizontal="center"/>
    </xf>
    <xf numFmtId="168" fontId="48" fillId="0" borderId="18" xfId="1" applyFont="1" applyFill="1" applyBorder="1" applyAlignment="1">
      <alignment horizontal="center"/>
    </xf>
    <xf numFmtId="168" fontId="42" fillId="10" borderId="0" xfId="1" applyFont="1" applyFill="1" applyAlignment="1">
      <alignment horizontal="center"/>
    </xf>
    <xf numFmtId="168" fontId="36" fillId="10" borderId="10" xfId="1" applyFont="1" applyFill="1" applyBorder="1"/>
    <xf numFmtId="168" fontId="36" fillId="10" borderId="19" xfId="1" applyFont="1" applyFill="1" applyBorder="1"/>
    <xf numFmtId="168" fontId="36" fillId="10" borderId="20" xfId="1" applyFont="1" applyFill="1" applyBorder="1"/>
    <xf numFmtId="168" fontId="28" fillId="0" borderId="0" xfId="1" applyFont="1" applyBorder="1" applyAlignment="1">
      <alignment horizontal="right"/>
    </xf>
    <xf numFmtId="41" fontId="26" fillId="0" borderId="0" xfId="3" applyFont="1"/>
    <xf numFmtId="168" fontId="36" fillId="10" borderId="0" xfId="1" applyFont="1" applyFill="1" applyBorder="1" applyAlignment="1"/>
    <xf numFmtId="168" fontId="28" fillId="0" borderId="0" xfId="1" applyFont="1" applyBorder="1"/>
    <xf numFmtId="41" fontId="28" fillId="8" borderId="0" xfId="3" applyFont="1" applyFill="1"/>
    <xf numFmtId="41" fontId="26" fillId="8" borderId="0" xfId="3" applyFont="1" applyFill="1"/>
    <xf numFmtId="168" fontId="28" fillId="9" borderId="10" xfId="1" applyFont="1" applyFill="1" applyBorder="1"/>
    <xf numFmtId="0" fontId="42" fillId="0" borderId="0" xfId="0" applyFont="1"/>
    <xf numFmtId="3" fontId="28" fillId="0" borderId="0" xfId="0" applyNumberFormat="1" applyFont="1"/>
    <xf numFmtId="168" fontId="26" fillId="9" borderId="10" xfId="1" applyFont="1" applyFill="1" applyBorder="1"/>
    <xf numFmtId="0" fontId="28" fillId="0" borderId="22" xfId="0" applyFont="1" applyBorder="1"/>
    <xf numFmtId="3" fontId="28" fillId="0" borderId="13" xfId="0" applyNumberFormat="1" applyFont="1" applyBorder="1"/>
    <xf numFmtId="3" fontId="50" fillId="0" borderId="0" xfId="0" applyNumberFormat="1" applyFont="1"/>
    <xf numFmtId="3" fontId="26" fillId="0" borderId="4" xfId="0" applyNumberFormat="1" applyFont="1" applyBorder="1"/>
    <xf numFmtId="0" fontId="26" fillId="0" borderId="0" xfId="0" applyFont="1" applyAlignment="1">
      <alignment horizontal="right"/>
    </xf>
    <xf numFmtId="168" fontId="26" fillId="4" borderId="20" xfId="1" applyFont="1" applyFill="1" applyBorder="1"/>
    <xf numFmtId="3" fontId="54" fillId="0" borderId="0" xfId="0" applyNumberFormat="1" applyFont="1"/>
    <xf numFmtId="0" fontId="26" fillId="0" borderId="13" xfId="0" applyFont="1" applyBorder="1"/>
    <xf numFmtId="0" fontId="26" fillId="0" borderId="22" xfId="0" applyFont="1" applyBorder="1"/>
    <xf numFmtId="0" fontId="28" fillId="0" borderId="3" xfId="0" applyFont="1" applyBorder="1"/>
    <xf numFmtId="0" fontId="31" fillId="0" borderId="4" xfId="0" applyFont="1" applyBorder="1"/>
    <xf numFmtId="0" fontId="55" fillId="0" borderId="2" xfId="0" applyFont="1" applyBorder="1"/>
    <xf numFmtId="0" fontId="57" fillId="0" borderId="22" xfId="0" applyFont="1" applyBorder="1"/>
    <xf numFmtId="168" fontId="26" fillId="5" borderId="0" xfId="1" applyFont="1" applyFill="1" applyBorder="1"/>
    <xf numFmtId="168" fontId="26" fillId="0" borderId="13" xfId="1" applyFont="1" applyFill="1" applyBorder="1"/>
    <xf numFmtId="168" fontId="36" fillId="5" borderId="0" xfId="1" applyFont="1" applyFill="1" applyBorder="1"/>
    <xf numFmtId="165" fontId="26" fillId="0" borderId="4" xfId="5" applyFont="1" applyBorder="1"/>
    <xf numFmtId="168" fontId="28" fillId="4" borderId="4" xfId="1" applyFont="1" applyFill="1" applyBorder="1"/>
    <xf numFmtId="0" fontId="58" fillId="0" borderId="4" xfId="0" applyFont="1" applyBorder="1"/>
    <xf numFmtId="0" fontId="45" fillId="0" borderId="4" xfId="0" applyFont="1" applyBorder="1"/>
    <xf numFmtId="168" fontId="45" fillId="0" borderId="23" xfId="1" applyFont="1" applyFill="1" applyBorder="1"/>
    <xf numFmtId="165" fontId="26" fillId="0" borderId="0" xfId="5" applyFont="1" applyBorder="1"/>
    <xf numFmtId="0" fontId="58" fillId="0" borderId="0" xfId="0" applyFont="1"/>
    <xf numFmtId="0" fontId="45" fillId="0" borderId="0" xfId="0" applyFont="1"/>
    <xf numFmtId="168" fontId="45" fillId="0" borderId="0" xfId="1" applyFont="1" applyFill="1" applyBorder="1"/>
    <xf numFmtId="0" fontId="59" fillId="0" borderId="2" xfId="0" applyFont="1" applyBorder="1"/>
    <xf numFmtId="3" fontId="26" fillId="0" borderId="2" xfId="0" applyNumberFormat="1" applyFont="1" applyBorder="1"/>
    <xf numFmtId="170" fontId="28" fillId="0" borderId="2" xfId="5" applyNumberFormat="1" applyFont="1" applyFill="1" applyBorder="1"/>
    <xf numFmtId="170" fontId="28" fillId="0" borderId="21" xfId="5" applyNumberFormat="1" applyFont="1" applyFill="1" applyBorder="1"/>
    <xf numFmtId="168" fontId="26" fillId="5" borderId="13" xfId="1" applyFont="1" applyFill="1" applyBorder="1"/>
    <xf numFmtId="168" fontId="26" fillId="0" borderId="13" xfId="1" applyFont="1" applyBorder="1"/>
    <xf numFmtId="0" fontId="26" fillId="0" borderId="3" xfId="0" applyFont="1" applyBorder="1"/>
    <xf numFmtId="168" fontId="26" fillId="0" borderId="4" xfId="1" applyFont="1" applyBorder="1"/>
    <xf numFmtId="168" fontId="41" fillId="4" borderId="4" xfId="1" applyFont="1" applyFill="1" applyBorder="1"/>
    <xf numFmtId="168" fontId="41" fillId="0" borderId="4" xfId="1" applyFont="1" applyBorder="1"/>
    <xf numFmtId="168" fontId="28" fillId="0" borderId="23" xfId="1" applyFont="1" applyBorder="1"/>
    <xf numFmtId="168" fontId="41" fillId="0" borderId="0" xfId="1" applyFont="1" applyFill="1" applyBorder="1"/>
    <xf numFmtId="168" fontId="41" fillId="0" borderId="0" xfId="1" applyFont="1" applyBorder="1"/>
    <xf numFmtId="0" fontId="31" fillId="0" borderId="2" xfId="0" applyFont="1" applyBorder="1"/>
    <xf numFmtId="168" fontId="26" fillId="0" borderId="2" xfId="1" applyFont="1" applyBorder="1"/>
    <xf numFmtId="168" fontId="41" fillId="0" borderId="2" xfId="1" applyFont="1" applyBorder="1"/>
    <xf numFmtId="168" fontId="28" fillId="0" borderId="21" xfId="1" applyFont="1" applyBorder="1"/>
    <xf numFmtId="0" fontId="26" fillId="0" borderId="22" xfId="0" applyFont="1" applyBorder="1" applyAlignment="1">
      <alignment horizontal="right"/>
    </xf>
    <xf numFmtId="168" fontId="60" fillId="0" borderId="10" xfId="1" applyFont="1" applyBorder="1"/>
    <xf numFmtId="168" fontId="24" fillId="0" borderId="0" xfId="1" applyFont="1" applyBorder="1"/>
    <xf numFmtId="168" fontId="60" fillId="0" borderId="0" xfId="1" applyFont="1" applyBorder="1"/>
    <xf numFmtId="168" fontId="60" fillId="0" borderId="24" xfId="1" applyFont="1" applyBorder="1"/>
    <xf numFmtId="168" fontId="60" fillId="4" borderId="10" xfId="1" applyFont="1" applyFill="1" applyBorder="1"/>
    <xf numFmtId="168" fontId="41" fillId="7" borderId="0" xfId="1" applyFont="1" applyFill="1" applyBorder="1"/>
    <xf numFmtId="168" fontId="60" fillId="0" borderId="24" xfId="1" applyFont="1" applyFill="1" applyBorder="1"/>
    <xf numFmtId="168" fontId="60" fillId="0" borderId="12" xfId="1" applyFont="1" applyBorder="1"/>
    <xf numFmtId="168" fontId="41" fillId="4" borderId="24" xfId="1" applyFont="1" applyFill="1" applyBorder="1"/>
    <xf numFmtId="168" fontId="41" fillId="4" borderId="15" xfId="1" applyFont="1" applyFill="1" applyBorder="1"/>
    <xf numFmtId="168" fontId="28" fillId="0" borderId="13" xfId="1" applyFont="1" applyBorder="1"/>
    <xf numFmtId="168" fontId="60" fillId="0" borderId="0" xfId="1" applyFont="1" applyFill="1" applyBorder="1"/>
    <xf numFmtId="168" fontId="24" fillId="0" borderId="12" xfId="1" applyFont="1" applyFill="1" applyBorder="1" applyAlignment="1">
      <alignment horizontal="left"/>
    </xf>
    <xf numFmtId="168" fontId="27" fillId="0" borderId="13" xfId="1" applyFont="1" applyBorder="1"/>
    <xf numFmtId="168" fontId="41" fillId="4" borderId="10" xfId="1" applyFont="1" applyFill="1" applyBorder="1"/>
    <xf numFmtId="168" fontId="41" fillId="0" borderId="4" xfId="1" applyFont="1" applyFill="1" applyBorder="1"/>
    <xf numFmtId="168" fontId="28" fillId="0" borderId="23" xfId="1" applyFont="1" applyFill="1" applyBorder="1"/>
    <xf numFmtId="168" fontId="26" fillId="0" borderId="0" xfId="0" applyNumberFormat="1" applyFont="1"/>
    <xf numFmtId="0" fontId="28" fillId="8" borderId="25" xfId="0" applyFont="1" applyFill="1" applyBorder="1"/>
    <xf numFmtId="0" fontId="31" fillId="8" borderId="26" xfId="0" applyFont="1" applyFill="1" applyBorder="1"/>
    <xf numFmtId="0" fontId="26" fillId="8" borderId="26" xfId="0" applyFont="1" applyFill="1" applyBorder="1"/>
    <xf numFmtId="168" fontId="26" fillId="0" borderId="21" xfId="1" applyFont="1" applyBorder="1"/>
    <xf numFmtId="0" fontId="26" fillId="0" borderId="27" xfId="0" applyFont="1" applyBorder="1"/>
    <xf numFmtId="169" fontId="26" fillId="0" borderId="10" xfId="0" applyNumberFormat="1" applyFont="1" applyBorder="1"/>
    <xf numFmtId="0" fontId="28" fillId="2" borderId="1" xfId="0" applyFont="1" applyFill="1" applyBorder="1"/>
    <xf numFmtId="0" fontId="28" fillId="2" borderId="21" xfId="0" applyFont="1" applyFill="1" applyBorder="1"/>
    <xf numFmtId="10" fontId="26" fillId="4" borderId="10" xfId="4" applyNumberFormat="1" applyFont="1" applyFill="1" applyBorder="1"/>
    <xf numFmtId="0" fontId="28" fillId="2" borderId="22" xfId="0" applyFont="1" applyFill="1" applyBorder="1"/>
    <xf numFmtId="0" fontId="28" fillId="2" borderId="13" xfId="0" applyFont="1" applyFill="1" applyBorder="1"/>
    <xf numFmtId="169" fontId="26" fillId="0" borderId="12" xfId="0" applyNumberFormat="1" applyFont="1" applyBorder="1"/>
    <xf numFmtId="0" fontId="28" fillId="2" borderId="3" xfId="0" applyFont="1" applyFill="1" applyBorder="1"/>
    <xf numFmtId="0" fontId="28" fillId="2" borderId="23" xfId="0" applyFont="1" applyFill="1" applyBorder="1"/>
    <xf numFmtId="169" fontId="26" fillId="4" borderId="12" xfId="0" applyNumberFormat="1" applyFont="1" applyFill="1" applyBorder="1"/>
    <xf numFmtId="0" fontId="35" fillId="0" borderId="28" xfId="0" applyFont="1" applyBorder="1"/>
    <xf numFmtId="0" fontId="26" fillId="0" borderId="28" xfId="0" applyFont="1" applyBorder="1"/>
    <xf numFmtId="169" fontId="26" fillId="4" borderId="10" xfId="0" applyNumberFormat="1" applyFont="1" applyFill="1" applyBorder="1"/>
    <xf numFmtId="168" fontId="26" fillId="4" borderId="10" xfId="0" applyNumberFormat="1" applyFont="1" applyFill="1" applyBorder="1"/>
    <xf numFmtId="168" fontId="38" fillId="4" borderId="17" xfId="1" applyFont="1" applyFill="1" applyBorder="1"/>
    <xf numFmtId="0" fontId="50" fillId="0" borderId="0" xfId="0" applyFont="1"/>
    <xf numFmtId="169" fontId="61" fillId="4" borderId="0" xfId="0" applyNumberFormat="1" applyFont="1" applyFill="1" applyAlignment="1">
      <alignment horizontal="center" vertical="center"/>
    </xf>
    <xf numFmtId="0" fontId="28" fillId="2" borderId="0" xfId="0" applyFont="1" applyFill="1" applyAlignment="1">
      <alignment vertical="center"/>
    </xf>
    <xf numFmtId="0" fontId="28" fillId="2" borderId="22" xfId="0" applyFont="1" applyFill="1" applyBorder="1" applyAlignment="1">
      <alignment vertical="center"/>
    </xf>
    <xf numFmtId="0" fontId="62" fillId="0" borderId="0" xfId="0" applyFont="1"/>
    <xf numFmtId="164" fontId="26" fillId="0" borderId="19" xfId="0" applyNumberFormat="1" applyFont="1" applyBorder="1"/>
    <xf numFmtId="164" fontId="26" fillId="4" borderId="24" xfId="0" applyNumberFormat="1" applyFont="1" applyFill="1" applyBorder="1"/>
    <xf numFmtId="0" fontId="28" fillId="6" borderId="0" xfId="0" applyFont="1" applyFill="1" applyAlignment="1">
      <alignment vertical="center"/>
    </xf>
    <xf numFmtId="0" fontId="28" fillId="6" borderId="13" xfId="0" applyFont="1" applyFill="1" applyBorder="1" applyAlignment="1">
      <alignment vertical="center"/>
    </xf>
    <xf numFmtId="0" fontId="29" fillId="0" borderId="0" xfId="0" applyFont="1"/>
    <xf numFmtId="164" fontId="26" fillId="0" borderId="0" xfId="0" applyNumberFormat="1" applyFont="1"/>
    <xf numFmtId="169" fontId="26" fillId="0" borderId="0" xfId="0" applyNumberFormat="1" applyFont="1"/>
    <xf numFmtId="169" fontId="28" fillId="0" borderId="0" xfId="0" applyNumberFormat="1" applyFont="1"/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6" fillId="9" borderId="0" xfId="0" applyFont="1" applyFill="1"/>
    <xf numFmtId="0" fontId="53" fillId="0" borderId="0" xfId="0" applyFont="1"/>
    <xf numFmtId="168" fontId="26" fillId="9" borderId="24" xfId="1" applyFont="1" applyFill="1" applyBorder="1"/>
    <xf numFmtId="43" fontId="26" fillId="0" borderId="0" xfId="2" applyFont="1" applyBorder="1"/>
    <xf numFmtId="0" fontId="26" fillId="0" borderId="4" xfId="0" applyFont="1" applyBorder="1"/>
    <xf numFmtId="168" fontId="26" fillId="0" borderId="23" xfId="1" applyFont="1" applyBorder="1"/>
    <xf numFmtId="43" fontId="62" fillId="0" borderId="0" xfId="2" applyFont="1" applyBorder="1"/>
    <xf numFmtId="168" fontId="50" fillId="0" borderId="0" xfId="1" applyFont="1" applyFill="1" applyBorder="1"/>
    <xf numFmtId="0" fontId="26" fillId="13" borderId="29" xfId="0" applyFont="1" applyFill="1" applyBorder="1"/>
    <xf numFmtId="0" fontId="48" fillId="13" borderId="22" xfId="0" applyFont="1" applyFill="1" applyBorder="1" applyAlignment="1">
      <alignment horizontal="center" vertical="center"/>
    </xf>
    <xf numFmtId="0" fontId="28" fillId="13" borderId="22" xfId="0" applyFont="1" applyFill="1" applyBorder="1" applyAlignment="1">
      <alignment horizontal="center"/>
    </xf>
    <xf numFmtId="0" fontId="42" fillId="13" borderId="22" xfId="0" applyFont="1" applyFill="1" applyBorder="1" applyAlignment="1">
      <alignment horizontal="center"/>
    </xf>
    <xf numFmtId="0" fontId="26" fillId="13" borderId="13" xfId="0" applyFont="1" applyFill="1" applyBorder="1"/>
    <xf numFmtId="168" fontId="26" fillId="13" borderId="13" xfId="1" applyFont="1" applyFill="1" applyBorder="1" applyAlignment="1">
      <alignment vertical="center"/>
    </xf>
    <xf numFmtId="0" fontId="26" fillId="13" borderId="30" xfId="0" applyFont="1" applyFill="1" applyBorder="1"/>
    <xf numFmtId="0" fontId="26" fillId="13" borderId="27" xfId="0" applyFont="1" applyFill="1" applyBorder="1"/>
    <xf numFmtId="0" fontId="26" fillId="14" borderId="0" xfId="0" applyFont="1" applyFill="1"/>
    <xf numFmtId="168" fontId="36" fillId="14" borderId="13" xfId="1" applyFont="1" applyFill="1" applyBorder="1"/>
    <xf numFmtId="168" fontId="36" fillId="14" borderId="13" xfId="1" applyFont="1" applyFill="1" applyBorder="1" applyAlignment="1">
      <alignment vertical="center"/>
    </xf>
    <xf numFmtId="168" fontId="36" fillId="14" borderId="23" xfId="1" applyFont="1" applyFill="1" applyBorder="1"/>
    <xf numFmtId="168" fontId="28" fillId="13" borderId="15" xfId="1" applyFont="1" applyFill="1" applyBorder="1"/>
    <xf numFmtId="0" fontId="28" fillId="13" borderId="0" xfId="0" applyFont="1" applyFill="1" applyAlignment="1">
      <alignment horizontal="center"/>
    </xf>
    <xf numFmtId="0" fontId="28" fillId="15" borderId="0" xfId="0" applyFont="1" applyFill="1" applyAlignment="1">
      <alignment horizontal="center"/>
    </xf>
    <xf numFmtId="168" fontId="28" fillId="15" borderId="10" xfId="1" applyFont="1" applyFill="1" applyBorder="1"/>
    <xf numFmtId="168" fontId="28" fillId="0" borderId="10" xfId="1" applyFont="1" applyBorder="1"/>
    <xf numFmtId="3" fontId="36" fillId="17" borderId="0" xfId="0" applyNumberFormat="1" applyFont="1" applyFill="1" applyAlignment="1">
      <alignment horizontal="center"/>
    </xf>
    <xf numFmtId="168" fontId="36" fillId="17" borderId="10" xfId="1" applyFont="1" applyFill="1" applyBorder="1"/>
    <xf numFmtId="168" fontId="36" fillId="17" borderId="19" xfId="1" applyFont="1" applyFill="1" applyBorder="1"/>
    <xf numFmtId="168" fontId="28" fillId="17" borderId="20" xfId="1" applyFont="1" applyFill="1" applyBorder="1"/>
    <xf numFmtId="168" fontId="36" fillId="17" borderId="0" xfId="1" applyFont="1" applyFill="1" applyBorder="1" applyAlignment="1"/>
    <xf numFmtId="168" fontId="66" fillId="0" borderId="0" xfId="1" applyFont="1" applyFill="1" applyBorder="1"/>
    <xf numFmtId="3" fontId="24" fillId="0" borderId="0" xfId="0" applyNumberFormat="1" applyFont="1"/>
    <xf numFmtId="168" fontId="67" fillId="18" borderId="0" xfId="1" applyFont="1" applyFill="1" applyBorder="1"/>
    <xf numFmtId="0" fontId="68" fillId="19" borderId="2" xfId="0" applyFont="1" applyFill="1" applyBorder="1"/>
    <xf numFmtId="0" fontId="26" fillId="19" borderId="2" xfId="0" applyFont="1" applyFill="1" applyBorder="1"/>
    <xf numFmtId="168" fontId="26" fillId="19" borderId="21" xfId="1" applyFont="1" applyFill="1" applyBorder="1"/>
    <xf numFmtId="0" fontId="46" fillId="19" borderId="1" xfId="0" applyFont="1" applyFill="1" applyBorder="1"/>
    <xf numFmtId="0" fontId="67" fillId="0" borderId="22" xfId="0" applyFont="1" applyBorder="1"/>
    <xf numFmtId="0" fontId="67" fillId="0" borderId="0" xfId="0" applyFont="1" applyAlignment="1">
      <alignment horizontal="center"/>
    </xf>
    <xf numFmtId="0" fontId="67" fillId="0" borderId="0" xfId="0" applyFont="1"/>
    <xf numFmtId="41" fontId="67" fillId="0" borderId="0" xfId="0" applyNumberFormat="1" applyFont="1"/>
    <xf numFmtId="0" fontId="64" fillId="0" borderId="0" xfId="0" applyFont="1"/>
    <xf numFmtId="0" fontId="25" fillId="0" borderId="0" xfId="0" applyFont="1"/>
    <xf numFmtId="0" fontId="69" fillId="0" borderId="1" xfId="0" applyFont="1" applyBorder="1"/>
    <xf numFmtId="0" fontId="65" fillId="8" borderId="26" xfId="0" applyFont="1" applyFill="1" applyBorder="1" applyAlignment="1">
      <alignment horizontal="center"/>
    </xf>
    <xf numFmtId="0" fontId="70" fillId="0" borderId="0" xfId="0" applyFont="1"/>
    <xf numFmtId="0" fontId="71" fillId="0" borderId="0" xfId="0" applyFont="1"/>
    <xf numFmtId="0" fontId="41" fillId="0" borderId="0" xfId="0" applyFont="1"/>
    <xf numFmtId="0" fontId="25" fillId="9" borderId="0" xfId="0" applyFont="1" applyFill="1"/>
    <xf numFmtId="0" fontId="25" fillId="6" borderId="22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60" fillId="0" borderId="0" xfId="0" applyFont="1"/>
    <xf numFmtId="0" fontId="73" fillId="0" borderId="0" xfId="0" applyFont="1"/>
    <xf numFmtId="0" fontId="74" fillId="0" borderId="0" xfId="0" applyFont="1"/>
    <xf numFmtId="0" fontId="27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168" fontId="60" fillId="0" borderId="20" xfId="1" applyFont="1" applyBorder="1"/>
    <xf numFmtId="168" fontId="60" fillId="0" borderId="13" xfId="1" applyFont="1" applyBorder="1"/>
    <xf numFmtId="168" fontId="76" fillId="4" borderId="13" xfId="1" applyFont="1" applyFill="1" applyBorder="1"/>
    <xf numFmtId="168" fontId="60" fillId="0" borderId="13" xfId="1" applyFont="1" applyBorder="1" applyAlignment="1">
      <alignment horizontal="right"/>
    </xf>
    <xf numFmtId="168" fontId="41" fillId="4" borderId="13" xfId="1" applyFont="1" applyFill="1" applyBorder="1"/>
    <xf numFmtId="168" fontId="77" fillId="7" borderId="10" xfId="1" applyFont="1" applyFill="1" applyBorder="1"/>
    <xf numFmtId="9" fontId="38" fillId="21" borderId="0" xfId="4" applyFont="1" applyFill="1" applyBorder="1" applyAlignment="1">
      <alignment horizontal="right"/>
    </xf>
    <xf numFmtId="0" fontId="38" fillId="21" borderId="0" xfId="4" applyNumberFormat="1" applyFont="1" applyFill="1" applyBorder="1" applyAlignment="1">
      <alignment horizontal="right"/>
    </xf>
    <xf numFmtId="0" fontId="28" fillId="6" borderId="22" xfId="0" applyFont="1" applyFill="1" applyBorder="1" applyAlignment="1">
      <alignment vertical="center"/>
    </xf>
    <xf numFmtId="168" fontId="28" fillId="0" borderId="32" xfId="1" applyFont="1" applyBorder="1" applyAlignment="1">
      <alignment vertical="center"/>
    </xf>
    <xf numFmtId="0" fontId="41" fillId="0" borderId="22" xfId="0" applyFont="1" applyBorder="1"/>
    <xf numFmtId="0" fontId="26" fillId="0" borderId="23" xfId="0" applyFont="1" applyBorder="1"/>
    <xf numFmtId="0" fontId="28" fillId="12" borderId="0" xfId="0" applyFont="1" applyFill="1"/>
    <xf numFmtId="0" fontId="35" fillId="0" borderId="22" xfId="0" applyFont="1" applyBorder="1"/>
    <xf numFmtId="0" fontId="28" fillId="0" borderId="22" xfId="0" applyFont="1" applyBorder="1" applyAlignment="1">
      <alignment horizontal="center"/>
    </xf>
    <xf numFmtId="0" fontId="50" fillId="0" borderId="22" xfId="0" applyFont="1" applyBorder="1" applyAlignment="1">
      <alignment horizontal="left"/>
    </xf>
    <xf numFmtId="0" fontId="47" fillId="0" borderId="22" xfId="0" applyFont="1" applyBorder="1"/>
    <xf numFmtId="0" fontId="73" fillId="0" borderId="22" xfId="0" applyFont="1" applyBorder="1"/>
    <xf numFmtId="0" fontId="79" fillId="0" borderId="22" xfId="0" applyFont="1" applyBorder="1"/>
    <xf numFmtId="0" fontId="29" fillId="0" borderId="0" xfId="0" applyFont="1" applyAlignment="1">
      <alignment horizontal="left"/>
    </xf>
    <xf numFmtId="167" fontId="26" fillId="0" borderId="0" xfId="0" applyNumberFormat="1" applyFont="1"/>
    <xf numFmtId="0" fontId="50" fillId="13" borderId="0" xfId="0" applyFont="1" applyFill="1" applyAlignment="1">
      <alignment vertical="top"/>
    </xf>
    <xf numFmtId="168" fontId="50" fillId="14" borderId="4" xfId="1" applyFont="1" applyFill="1" applyBorder="1" applyAlignment="1">
      <alignment vertical="top"/>
    </xf>
    <xf numFmtId="168" fontId="50" fillId="7" borderId="0" xfId="1" applyFont="1" applyFill="1" applyBorder="1"/>
    <xf numFmtId="168" fontId="67" fillId="0" borderId="20" xfId="1" applyFont="1" applyBorder="1" applyAlignment="1"/>
    <xf numFmtId="168" fontId="78" fillId="0" borderId="20" xfId="1" applyFont="1" applyFill="1" applyBorder="1"/>
    <xf numFmtId="168" fontId="26" fillId="12" borderId="0" xfId="1" applyFont="1" applyFill="1" applyBorder="1"/>
    <xf numFmtId="168" fontId="36" fillId="28" borderId="0" xfId="1" applyFont="1" applyFill="1" applyAlignment="1"/>
    <xf numFmtId="0" fontId="31" fillId="0" borderId="0" xfId="7" applyFont="1"/>
    <xf numFmtId="0" fontId="28" fillId="0" borderId="0" xfId="7" applyFont="1"/>
    <xf numFmtId="0" fontId="35" fillId="0" borderId="0" xfId="7" applyFont="1"/>
    <xf numFmtId="0" fontId="42" fillId="0" borderId="0" xfId="7" applyFont="1"/>
    <xf numFmtId="0" fontId="50" fillId="0" borderId="0" xfId="7" applyFont="1"/>
    <xf numFmtId="0" fontId="88" fillId="0" borderId="0" xfId="7" applyFont="1"/>
    <xf numFmtId="0" fontId="29" fillId="0" borderId="0" xfId="7" applyFont="1"/>
    <xf numFmtId="168" fontId="49" fillId="9" borderId="20" xfId="1" applyFont="1" applyFill="1" applyBorder="1" applyAlignment="1">
      <alignment horizontal="right"/>
    </xf>
    <xf numFmtId="168" fontId="41" fillId="22" borderId="24" xfId="1" applyFont="1" applyFill="1" applyBorder="1"/>
    <xf numFmtId="168" fontId="24" fillId="0" borderId="0" xfId="1" applyFont="1" applyBorder="1" applyAlignment="1">
      <alignment horizontal="right"/>
    </xf>
    <xf numFmtId="10" fontId="26" fillId="0" borderId="0" xfId="0" applyNumberFormat="1" applyFont="1"/>
    <xf numFmtId="171" fontId="26" fillId="0" borderId="0" xfId="0" applyNumberFormat="1" applyFont="1"/>
    <xf numFmtId="171" fontId="31" fillId="0" borderId="0" xfId="0" applyNumberFormat="1" applyFont="1"/>
    <xf numFmtId="171" fontId="36" fillId="0" borderId="0" xfId="0" applyNumberFormat="1" applyFont="1"/>
    <xf numFmtId="43" fontId="36" fillId="0" borderId="0" xfId="2" applyFont="1" applyFill="1" applyBorder="1"/>
    <xf numFmtId="171" fontId="47" fillId="0" borderId="0" xfId="0" applyNumberFormat="1" applyFont="1" applyAlignment="1">
      <alignment horizontal="right"/>
    </xf>
    <xf numFmtId="43" fontId="36" fillId="0" borderId="0" xfId="2" applyFont="1" applyFill="1" applyBorder="1" applyAlignment="1">
      <alignment horizontal="center"/>
    </xf>
    <xf numFmtId="43" fontId="36" fillId="0" borderId="0" xfId="0" applyNumberFormat="1" applyFont="1"/>
    <xf numFmtId="43" fontId="93" fillId="0" borderId="0" xfId="2" applyFont="1" applyFill="1" applyBorder="1"/>
    <xf numFmtId="0" fontId="94" fillId="0" borderId="0" xfId="0" applyFont="1"/>
    <xf numFmtId="171" fontId="50" fillId="0" borderId="0" xfId="0" applyNumberFormat="1" applyFont="1"/>
    <xf numFmtId="43" fontId="50" fillId="0" borderId="0" xfId="2" applyFont="1" applyFill="1" applyBorder="1"/>
    <xf numFmtId="0" fontId="27" fillId="30" borderId="0" xfId="0" applyFont="1" applyFill="1" applyAlignment="1">
      <alignment horizontal="right"/>
    </xf>
    <xf numFmtId="0" fontId="27" fillId="31" borderId="0" xfId="0" applyFont="1" applyFill="1" applyAlignment="1">
      <alignment horizontal="right"/>
    </xf>
    <xf numFmtId="0" fontId="30" fillId="0" borderId="0" xfId="0" applyFont="1" applyAlignment="1">
      <alignment horizontal="left"/>
    </xf>
    <xf numFmtId="0" fontId="95" fillId="0" borderId="0" xfId="0" applyFont="1"/>
    <xf numFmtId="0" fontId="36" fillId="31" borderId="0" xfId="0" applyFont="1" applyFill="1"/>
    <xf numFmtId="0" fontId="96" fillId="0" borderId="0" xfId="0" applyFont="1"/>
    <xf numFmtId="168" fontId="26" fillId="4" borderId="10" xfId="1" applyFont="1" applyFill="1" applyBorder="1"/>
    <xf numFmtId="168" fontId="64" fillId="22" borderId="10" xfId="1" applyFont="1" applyFill="1" applyBorder="1"/>
    <xf numFmtId="168" fontId="67" fillId="22" borderId="13" xfId="1" applyFont="1" applyFill="1" applyBorder="1"/>
    <xf numFmtId="168" fontId="102" fillId="0" borderId="0" xfId="1" applyFont="1" applyAlignment="1">
      <alignment horizontal="right"/>
    </xf>
    <xf numFmtId="0" fontId="100" fillId="0" borderId="0" xfId="0" applyFont="1"/>
    <xf numFmtId="165" fontId="56" fillId="0" borderId="2" xfId="5" applyFont="1" applyFill="1" applyBorder="1" applyAlignment="1">
      <alignment horizontal="center"/>
    </xf>
    <xf numFmtId="0" fontId="36" fillId="12" borderId="0" xfId="0" applyFont="1" applyFill="1"/>
    <xf numFmtId="169" fontId="60" fillId="0" borderId="13" xfId="1" applyNumberFormat="1" applyFont="1" applyBorder="1"/>
    <xf numFmtId="0" fontId="63" fillId="0" borderId="27" xfId="0" applyFont="1" applyBorder="1"/>
    <xf numFmtId="0" fontId="74" fillId="0" borderId="27" xfId="0" applyFont="1" applyBorder="1"/>
    <xf numFmtId="0" fontId="63" fillId="0" borderId="0" xfId="0" applyFont="1"/>
    <xf numFmtId="0" fontId="74" fillId="20" borderId="0" xfId="0" applyFont="1" applyFill="1"/>
    <xf numFmtId="0" fontId="80" fillId="0" borderId="0" xfId="0" applyFont="1"/>
    <xf numFmtId="0" fontId="63" fillId="0" borderId="0" xfId="0" applyFont="1" applyAlignment="1">
      <alignment horizontal="right"/>
    </xf>
    <xf numFmtId="0" fontId="80" fillId="23" borderId="0" xfId="0" applyFont="1" applyFill="1"/>
    <xf numFmtId="0" fontId="75" fillId="0" borderId="43" xfId="0" applyFont="1" applyBorder="1" applyAlignment="1">
      <alignment horizontal="right"/>
    </xf>
    <xf numFmtId="0" fontId="75" fillId="0" borderId="17" xfId="0" applyFont="1" applyBorder="1" applyAlignment="1">
      <alignment horizontal="right"/>
    </xf>
    <xf numFmtId="0" fontId="55" fillId="0" borderId="28" xfId="0" applyFont="1" applyBorder="1"/>
    <xf numFmtId="0" fontId="74" fillId="0" borderId="28" xfId="0" applyFont="1" applyBorder="1"/>
    <xf numFmtId="0" fontId="105" fillId="0" borderId="34" xfId="0" applyFont="1" applyBorder="1" applyAlignment="1">
      <alignment horizontal="right"/>
    </xf>
    <xf numFmtId="168" fontId="74" fillId="0" borderId="48" xfId="1" applyFont="1" applyFill="1" applyBorder="1"/>
    <xf numFmtId="168" fontId="41" fillId="4" borderId="48" xfId="1" applyFont="1" applyFill="1" applyBorder="1"/>
    <xf numFmtId="168" fontId="74" fillId="7" borderId="48" xfId="1" applyFont="1" applyFill="1" applyBorder="1"/>
    <xf numFmtId="0" fontId="107" fillId="0" borderId="0" xfId="0" applyFont="1"/>
    <xf numFmtId="0" fontId="105" fillId="0" borderId="17" xfId="0" applyFont="1" applyBorder="1" applyAlignment="1">
      <alignment horizontal="right"/>
    </xf>
    <xf numFmtId="0" fontId="76" fillId="2" borderId="29" xfId="0" applyFont="1" applyFill="1" applyBorder="1" applyAlignment="1">
      <alignment vertical="center"/>
    </xf>
    <xf numFmtId="0" fontId="76" fillId="2" borderId="27" xfId="0" applyFont="1" applyFill="1" applyBorder="1" applyAlignment="1">
      <alignment vertical="center"/>
    </xf>
    <xf numFmtId="0" fontId="76" fillId="2" borderId="30" xfId="0" applyFont="1" applyFill="1" applyBorder="1" applyAlignment="1">
      <alignment vertical="center"/>
    </xf>
    <xf numFmtId="169" fontId="28" fillId="4" borderId="20" xfId="0" applyNumberFormat="1" applyFont="1" applyFill="1" applyBorder="1" applyAlignment="1">
      <alignment vertical="center"/>
    </xf>
    <xf numFmtId="168" fontId="36" fillId="0" borderId="0" xfId="1" applyFont="1" applyFill="1" applyBorder="1" applyAlignment="1"/>
    <xf numFmtId="3" fontId="36" fillId="0" borderId="0" xfId="0" applyNumberFormat="1" applyFont="1" applyAlignment="1">
      <alignment horizontal="center"/>
    </xf>
    <xf numFmtId="168" fontId="28" fillId="0" borderId="0" xfId="1" applyFont="1" applyAlignment="1">
      <alignment horizontal="right"/>
    </xf>
    <xf numFmtId="9" fontId="49" fillId="0" borderId="0" xfId="0" applyNumberFormat="1" applyFont="1" applyAlignment="1">
      <alignment horizontal="center"/>
    </xf>
    <xf numFmtId="168" fontId="28" fillId="0" borderId="48" xfId="1" applyFont="1" applyBorder="1" applyAlignment="1">
      <alignment horizontal="right"/>
    </xf>
    <xf numFmtId="168" fontId="41" fillId="0" borderId="18" xfId="1" applyFont="1" applyFill="1" applyBorder="1" applyAlignment="1">
      <alignment horizontal="center"/>
    </xf>
    <xf numFmtId="168" fontId="49" fillId="0" borderId="10" xfId="1" applyFont="1" applyFill="1" applyBorder="1" applyAlignment="1">
      <alignment horizontal="right"/>
    </xf>
    <xf numFmtId="168" fontId="49" fillId="0" borderId="0" xfId="1" applyFont="1" applyAlignment="1">
      <alignment horizontal="right"/>
    </xf>
    <xf numFmtId="9" fontId="35" fillId="0" borderId="0" xfId="4" applyFont="1" applyFill="1" applyBorder="1"/>
    <xf numFmtId="168" fontId="111" fillId="0" borderId="0" xfId="1" applyFont="1" applyFill="1" applyBorder="1" applyAlignment="1">
      <alignment horizontal="right"/>
    </xf>
    <xf numFmtId="168" fontId="26" fillId="22" borderId="10" xfId="1" applyFont="1" applyFill="1" applyBorder="1"/>
    <xf numFmtId="3" fontId="42" fillId="0" borderId="0" xfId="0" applyNumberFormat="1" applyFont="1" applyAlignment="1">
      <alignment horizontal="right"/>
    </xf>
    <xf numFmtId="0" fontId="113" fillId="0" borderId="0" xfId="0" applyFont="1"/>
    <xf numFmtId="168" fontId="60" fillId="22" borderId="13" xfId="1" applyFont="1" applyFill="1" applyBorder="1"/>
    <xf numFmtId="4" fontId="26" fillId="0" borderId="0" xfId="0" applyNumberFormat="1" applyFont="1"/>
    <xf numFmtId="172" fontId="26" fillId="0" borderId="0" xfId="1" applyNumberFormat="1" applyFont="1" applyBorder="1"/>
    <xf numFmtId="3" fontId="24" fillId="2" borderId="5" xfId="0" applyNumberFormat="1" applyFont="1" applyFill="1" applyBorder="1"/>
    <xf numFmtId="3" fontId="24" fillId="2" borderId="0" xfId="0" applyNumberFormat="1" applyFont="1" applyFill="1"/>
    <xf numFmtId="3" fontId="24" fillId="2" borderId="6" xfId="0" applyNumberFormat="1" applyFont="1" applyFill="1" applyBorder="1"/>
    <xf numFmtId="168" fontId="74" fillId="0" borderId="12" xfId="1" applyFont="1" applyFill="1" applyBorder="1"/>
    <xf numFmtId="168" fontId="72" fillId="0" borderId="0" xfId="1" applyFont="1"/>
    <xf numFmtId="3" fontId="115" fillId="0" borderId="0" xfId="0" applyNumberFormat="1" applyFont="1"/>
    <xf numFmtId="0" fontId="84" fillId="27" borderId="0" xfId="0" applyFont="1" applyFill="1" applyAlignment="1">
      <alignment horizontal="center"/>
    </xf>
    <xf numFmtId="0" fontId="110" fillId="0" borderId="0" xfId="16" applyFont="1" applyFill="1" applyBorder="1"/>
    <xf numFmtId="9" fontId="117" fillId="0" borderId="13" xfId="0" applyNumberFormat="1" applyFont="1" applyBorder="1" applyAlignment="1">
      <alignment horizontal="center"/>
    </xf>
    <xf numFmtId="0" fontId="117" fillId="0" borderId="31" xfId="0" applyFont="1" applyBorder="1" applyAlignment="1">
      <alignment horizontal="center"/>
    </xf>
    <xf numFmtId="9" fontId="117" fillId="32" borderId="13" xfId="0" applyNumberFormat="1" applyFont="1" applyFill="1" applyBorder="1" applyAlignment="1">
      <alignment horizontal="center"/>
    </xf>
    <xf numFmtId="9" fontId="117" fillId="32" borderId="23" xfId="0" applyNumberFormat="1" applyFont="1" applyFill="1" applyBorder="1" applyAlignment="1">
      <alignment horizontal="center"/>
    </xf>
    <xf numFmtId="0" fontId="117" fillId="32" borderId="49" xfId="0" applyFont="1" applyFill="1" applyBorder="1" applyAlignment="1">
      <alignment horizontal="center"/>
    </xf>
    <xf numFmtId="0" fontId="117" fillId="0" borderId="50" xfId="0" quotePrefix="1" applyFont="1" applyBorder="1" applyAlignment="1">
      <alignment horizontal="center"/>
    </xf>
    <xf numFmtId="0" fontId="117" fillId="32" borderId="51" xfId="0" applyFont="1" applyFill="1" applyBorder="1" applyAlignment="1">
      <alignment horizontal="center"/>
    </xf>
    <xf numFmtId="3" fontId="53" fillId="0" borderId="13" xfId="0" applyNumberFormat="1" applyFont="1" applyBorder="1"/>
    <xf numFmtId="3" fontId="65" fillId="0" borderId="13" xfId="0" applyNumberFormat="1" applyFont="1" applyBorder="1"/>
    <xf numFmtId="0" fontId="52" fillId="0" borderId="22" xfId="0" applyFont="1" applyBorder="1"/>
    <xf numFmtId="3" fontId="26" fillId="0" borderId="13" xfId="0" applyNumberFormat="1" applyFont="1" applyBorder="1"/>
    <xf numFmtId="0" fontId="119" fillId="0" borderId="0" xfId="0" applyFont="1"/>
    <xf numFmtId="0" fontId="48" fillId="0" borderId="0" xfId="0" applyFont="1"/>
    <xf numFmtId="3" fontId="52" fillId="0" borderId="0" xfId="0" applyNumberFormat="1" applyFont="1"/>
    <xf numFmtId="0" fontId="49" fillId="0" borderId="0" xfId="0" applyFont="1"/>
    <xf numFmtId="0" fontId="49" fillId="0" borderId="0" xfId="0" applyFont="1" applyAlignment="1">
      <alignment horizontal="right"/>
    </xf>
    <xf numFmtId="3" fontId="35" fillId="0" borderId="0" xfId="0" applyNumberFormat="1" applyFont="1" applyAlignment="1">
      <alignment vertical="center"/>
    </xf>
    <xf numFmtId="0" fontId="81" fillId="0" borderId="0" xfId="0" applyFont="1" applyAlignment="1">
      <alignment horizontal="right"/>
    </xf>
    <xf numFmtId="0" fontId="51" fillId="0" borderId="0" xfId="0" applyFont="1"/>
    <xf numFmtId="3" fontId="28" fillId="0" borderId="0" xfId="0" applyNumberFormat="1" applyFont="1" applyAlignment="1">
      <alignment horizontal="right"/>
    </xf>
    <xf numFmtId="3" fontId="79" fillId="0" borderId="0" xfId="0" applyNumberFormat="1" applyFont="1" applyAlignment="1">
      <alignment horizontal="right"/>
    </xf>
    <xf numFmtId="0" fontId="118" fillId="0" borderId="0" xfId="0" applyFont="1"/>
    <xf numFmtId="0" fontId="120" fillId="0" borderId="0" xfId="0" applyFont="1"/>
    <xf numFmtId="0" fontId="116" fillId="0" borderId="0" xfId="0" applyFont="1"/>
    <xf numFmtId="3" fontId="28" fillId="0" borderId="4" xfId="0" applyNumberFormat="1" applyFont="1" applyBorder="1"/>
    <xf numFmtId="3" fontId="28" fillId="0" borderId="12" xfId="0" applyNumberFormat="1" applyFont="1" applyBorder="1" applyAlignment="1">
      <alignment horizontal="right"/>
    </xf>
    <xf numFmtId="168" fontId="28" fillId="4" borderId="20" xfId="1" applyFont="1" applyFill="1" applyBorder="1"/>
    <xf numFmtId="0" fontId="122" fillId="0" borderId="0" xfId="0" applyFont="1" applyAlignment="1">
      <alignment horizontal="center"/>
    </xf>
    <xf numFmtId="0" fontId="49" fillId="0" borderId="0" xfId="0" applyFont="1" applyAlignment="1">
      <alignment vertical="center"/>
    </xf>
    <xf numFmtId="0" fontId="121" fillId="0" borderId="52" xfId="0" applyFont="1" applyBorder="1" applyAlignment="1">
      <alignment vertical="center"/>
    </xf>
    <xf numFmtId="168" fontId="50" fillId="0" borderId="0" xfId="1" applyFont="1" applyFill="1"/>
    <xf numFmtId="0" fontId="124" fillId="0" borderId="22" xfId="0" applyFont="1" applyBorder="1"/>
    <xf numFmtId="0" fontId="28" fillId="9" borderId="0" xfId="0" applyFont="1" applyFill="1" applyAlignment="1">
      <alignment horizontal="right"/>
    </xf>
    <xf numFmtId="168" fontId="41" fillId="9" borderId="10" xfId="1" applyFont="1" applyFill="1" applyBorder="1"/>
    <xf numFmtId="168" fontId="49" fillId="22" borderId="14" xfId="1" applyFont="1" applyFill="1" applyBorder="1"/>
    <xf numFmtId="0" fontId="125" fillId="0" borderId="53" xfId="0" applyFont="1" applyBorder="1" applyAlignment="1">
      <alignment horizontal="center"/>
    </xf>
    <xf numFmtId="10" fontId="26" fillId="0" borderId="54" xfId="0" applyNumberFormat="1" applyFont="1" applyBorder="1" applyAlignment="1">
      <alignment horizontal="center"/>
    </xf>
    <xf numFmtId="10" fontId="26" fillId="0" borderId="14" xfId="0" applyNumberFormat="1" applyFont="1" applyBorder="1" applyAlignment="1">
      <alignment horizontal="center"/>
    </xf>
    <xf numFmtId="10" fontId="26" fillId="32" borderId="54" xfId="0" applyNumberFormat="1" applyFont="1" applyFill="1" applyBorder="1" applyAlignment="1">
      <alignment horizontal="center"/>
    </xf>
    <xf numFmtId="0" fontId="26" fillId="32" borderId="0" xfId="0" applyFont="1" applyFill="1"/>
    <xf numFmtId="0" fontId="72" fillId="32" borderId="0" xfId="0" applyFont="1" applyFill="1"/>
    <xf numFmtId="0" fontId="35" fillId="32" borderId="0" xfId="0" applyFont="1" applyFill="1"/>
    <xf numFmtId="0" fontId="28" fillId="32" borderId="0" xfId="0" applyFont="1" applyFill="1"/>
    <xf numFmtId="171" fontId="36" fillId="32" borderId="0" xfId="0" applyNumberFormat="1" applyFont="1" applyFill="1"/>
    <xf numFmtId="168" fontId="28" fillId="32" borderId="10" xfId="1" applyFont="1" applyFill="1" applyBorder="1"/>
    <xf numFmtId="9" fontId="126" fillId="0" borderId="0" xfId="0" applyNumberFormat="1" applyFont="1" applyAlignment="1">
      <alignment horizontal="left"/>
    </xf>
    <xf numFmtId="10" fontId="41" fillId="0" borderId="10" xfId="0" applyNumberFormat="1" applyFont="1" applyBorder="1"/>
    <xf numFmtId="0" fontId="128" fillId="32" borderId="0" xfId="0" applyFont="1" applyFill="1"/>
    <xf numFmtId="0" fontId="129" fillId="32" borderId="0" xfId="0" applyFont="1" applyFill="1"/>
    <xf numFmtId="0" fontId="47" fillId="32" borderId="0" xfId="0" applyFont="1" applyFill="1" applyAlignment="1">
      <alignment horizontal="right"/>
    </xf>
    <xf numFmtId="168" fontId="26" fillId="0" borderId="20" xfId="1" applyFont="1" applyFill="1" applyBorder="1"/>
    <xf numFmtId="168" fontId="26" fillId="0" borderId="19" xfId="1" applyFont="1" applyFill="1" applyBorder="1"/>
    <xf numFmtId="3" fontId="28" fillId="0" borderId="0" xfId="0" applyNumberFormat="1" applyFont="1" applyAlignment="1">
      <alignment vertical="justify"/>
    </xf>
    <xf numFmtId="0" fontId="135" fillId="0" borderId="0" xfId="0" applyFont="1"/>
    <xf numFmtId="0" fontId="138" fillId="0" borderId="0" xfId="0" applyFont="1"/>
    <xf numFmtId="0" fontId="29" fillId="0" borderId="0" xfId="0" applyFont="1" applyAlignment="1">
      <alignment horizontal="center"/>
    </xf>
    <xf numFmtId="0" fontId="112" fillId="32" borderId="0" xfId="0" applyFont="1" applyFill="1"/>
    <xf numFmtId="3" fontId="112" fillId="0" borderId="0" xfId="0" applyNumberFormat="1" applyFont="1"/>
    <xf numFmtId="9" fontId="28" fillId="29" borderId="12" xfId="4" applyFont="1" applyFill="1" applyBorder="1"/>
    <xf numFmtId="0" fontId="142" fillId="0" borderId="0" xfId="0" applyFont="1"/>
    <xf numFmtId="0" fontId="145" fillId="0" borderId="0" xfId="0" applyFont="1"/>
    <xf numFmtId="168" fontId="49" fillId="22" borderId="10" xfId="1" applyFont="1" applyFill="1" applyBorder="1"/>
    <xf numFmtId="0" fontId="28" fillId="34" borderId="20" xfId="7" applyFont="1" applyFill="1" applyBorder="1"/>
    <xf numFmtId="0" fontId="28" fillId="0" borderId="4" xfId="7" applyFont="1" applyBorder="1"/>
    <xf numFmtId="0" fontId="49" fillId="0" borderId="0" xfId="7" applyFont="1"/>
    <xf numFmtId="0" fontId="26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28" fillId="22" borderId="44" xfId="0" applyFont="1" applyFill="1" applyBorder="1" applyAlignment="1">
      <alignment horizontal="center"/>
    </xf>
    <xf numFmtId="168" fontId="24" fillId="28" borderId="0" xfId="1" applyFont="1" applyFill="1" applyAlignment="1"/>
    <xf numFmtId="0" fontId="39" fillId="32" borderId="0" xfId="0" applyFont="1" applyFill="1" applyAlignment="1">
      <alignment horizontal="center" vertical="justify"/>
    </xf>
    <xf numFmtId="0" fontId="78" fillId="24" borderId="0" xfId="0" applyFont="1" applyFill="1" applyAlignment="1">
      <alignment horizontal="center"/>
    </xf>
    <xf numFmtId="0" fontId="78" fillId="24" borderId="13" xfId="0" applyFont="1" applyFill="1" applyBorder="1" applyAlignment="1">
      <alignment horizontal="center"/>
    </xf>
    <xf numFmtId="0" fontId="46" fillId="6" borderId="29" xfId="0" applyFont="1" applyFill="1" applyBorder="1" applyAlignment="1">
      <alignment horizontal="center" vertical="center"/>
    </xf>
    <xf numFmtId="0" fontId="46" fillId="6" borderId="27" xfId="0" applyFont="1" applyFill="1" applyBorder="1" applyAlignment="1">
      <alignment horizontal="center" vertical="center"/>
    </xf>
    <xf numFmtId="0" fontId="46" fillId="6" borderId="30" xfId="0" applyFont="1" applyFill="1" applyBorder="1" applyAlignment="1">
      <alignment horizontal="center" vertical="center"/>
    </xf>
    <xf numFmtId="0" fontId="82" fillId="25" borderId="22" xfId="0" applyFont="1" applyFill="1" applyBorder="1" applyAlignment="1">
      <alignment horizontal="center" vertical="center"/>
    </xf>
    <xf numFmtId="0" fontId="82" fillId="25" borderId="0" xfId="0" applyFont="1" applyFill="1" applyAlignment="1">
      <alignment horizontal="center" vertical="center"/>
    </xf>
    <xf numFmtId="0" fontId="82" fillId="25" borderId="13" xfId="0" applyFont="1" applyFill="1" applyBorder="1" applyAlignment="1">
      <alignment horizontal="center" vertical="center"/>
    </xf>
    <xf numFmtId="0" fontId="35" fillId="0" borderId="12" xfId="0" applyFont="1" applyBorder="1" applyAlignment="1">
      <alignment horizontal="center" vertical="distributed"/>
    </xf>
    <xf numFmtId="0" fontId="35" fillId="0" borderId="15" xfId="0" applyFont="1" applyBorder="1" applyAlignment="1">
      <alignment horizontal="center" vertical="distributed"/>
    </xf>
    <xf numFmtId="0" fontId="75" fillId="0" borderId="0" xfId="0" applyFont="1" applyAlignment="1">
      <alignment horizontal="right"/>
    </xf>
    <xf numFmtId="0" fontId="75" fillId="0" borderId="17" xfId="0" applyFont="1" applyBorder="1" applyAlignment="1">
      <alignment horizontal="right"/>
    </xf>
    <xf numFmtId="0" fontId="63" fillId="0" borderId="29" xfId="0" applyFont="1" applyBorder="1" applyAlignment="1">
      <alignment horizontal="center" vertical="center" wrapText="1"/>
    </xf>
    <xf numFmtId="0" fontId="63" fillId="0" borderId="22" xfId="0" applyFont="1" applyBorder="1" applyAlignment="1">
      <alignment horizontal="center" vertical="center" wrapText="1"/>
    </xf>
    <xf numFmtId="0" fontId="63" fillId="0" borderId="35" xfId="0" applyFont="1" applyBorder="1" applyAlignment="1">
      <alignment horizontal="center" vertical="center" wrapText="1"/>
    </xf>
    <xf numFmtId="164" fontId="28" fillId="4" borderId="44" xfId="0" applyNumberFormat="1" applyFont="1" applyFill="1" applyBorder="1" applyAlignment="1">
      <alignment horizontal="center" vertical="center"/>
    </xf>
    <xf numFmtId="164" fontId="28" fillId="4" borderId="14" xfId="0" applyNumberFormat="1" applyFont="1" applyFill="1" applyBorder="1" applyAlignment="1">
      <alignment horizontal="center" vertical="center"/>
    </xf>
    <xf numFmtId="43" fontId="127" fillId="32" borderId="0" xfId="2" applyFont="1" applyFill="1" applyBorder="1" applyAlignment="1">
      <alignment horizontal="center"/>
    </xf>
    <xf numFmtId="164" fontId="49" fillId="0" borderId="0" xfId="0" applyNumberFormat="1" applyFont="1" applyAlignment="1">
      <alignment horizontal="center"/>
    </xf>
    <xf numFmtId="0" fontId="49" fillId="7" borderId="1" xfId="0" applyFont="1" applyFill="1" applyBorder="1" applyAlignment="1">
      <alignment horizontal="center" vertical="center"/>
    </xf>
    <xf numFmtId="0" fontId="49" fillId="7" borderId="2" xfId="0" applyFont="1" applyFill="1" applyBorder="1" applyAlignment="1">
      <alignment horizontal="center" vertical="center"/>
    </xf>
    <xf numFmtId="0" fontId="49" fillId="7" borderId="21" xfId="0" applyFont="1" applyFill="1" applyBorder="1" applyAlignment="1">
      <alignment horizontal="center" vertical="center"/>
    </xf>
    <xf numFmtId="0" fontId="49" fillId="7" borderId="35" xfId="0" applyFont="1" applyFill="1" applyBorder="1" applyAlignment="1">
      <alignment horizontal="center" vertical="center"/>
    </xf>
    <xf numFmtId="0" fontId="49" fillId="7" borderId="28" xfId="0" applyFont="1" applyFill="1" applyBorder="1" applyAlignment="1">
      <alignment horizontal="center" vertical="center"/>
    </xf>
    <xf numFmtId="0" fontId="49" fillId="7" borderId="31" xfId="0" applyFont="1" applyFill="1" applyBorder="1" applyAlignment="1">
      <alignment horizontal="center" vertical="center"/>
    </xf>
    <xf numFmtId="3" fontId="85" fillId="2" borderId="39" xfId="0" applyNumberFormat="1" applyFont="1" applyFill="1" applyBorder="1" applyAlignment="1">
      <alignment horizontal="center"/>
    </xf>
    <xf numFmtId="3" fontId="85" fillId="2" borderId="40" xfId="0" applyNumberFormat="1" applyFont="1" applyFill="1" applyBorder="1" applyAlignment="1">
      <alignment horizontal="center"/>
    </xf>
    <xf numFmtId="3" fontId="85" fillId="2" borderId="41" xfId="0" applyNumberFormat="1" applyFont="1" applyFill="1" applyBorder="1" applyAlignment="1">
      <alignment horizontal="center"/>
    </xf>
    <xf numFmtId="3" fontId="85" fillId="2" borderId="5" xfId="0" applyNumberFormat="1" applyFont="1" applyFill="1" applyBorder="1" applyAlignment="1">
      <alignment horizontal="center"/>
    </xf>
    <xf numFmtId="3" fontId="85" fillId="2" borderId="0" xfId="0" applyNumberFormat="1" applyFont="1" applyFill="1" applyAlignment="1">
      <alignment horizontal="center"/>
    </xf>
    <xf numFmtId="3" fontId="85" fillId="2" borderId="6" xfId="0" applyNumberFormat="1" applyFont="1" applyFill="1" applyBorder="1" applyAlignment="1">
      <alignment horizontal="center"/>
    </xf>
    <xf numFmtId="168" fontId="28" fillId="7" borderId="11" xfId="1" applyFont="1" applyFill="1" applyBorder="1" applyAlignment="1">
      <alignment horizontal="center"/>
    </xf>
    <xf numFmtId="168" fontId="28" fillId="7" borderId="0" xfId="1" applyFont="1" applyFill="1" applyBorder="1" applyAlignment="1">
      <alignment horizontal="center"/>
    </xf>
    <xf numFmtId="168" fontId="28" fillId="7" borderId="17" xfId="1" applyFont="1" applyFill="1" applyBorder="1" applyAlignment="1">
      <alignment horizontal="center"/>
    </xf>
    <xf numFmtId="168" fontId="28" fillId="9" borderId="11" xfId="1" applyFont="1" applyFill="1" applyBorder="1" applyAlignment="1">
      <alignment horizontal="center"/>
    </xf>
    <xf numFmtId="168" fontId="28" fillId="9" borderId="0" xfId="1" applyFont="1" applyFill="1" applyBorder="1" applyAlignment="1">
      <alignment horizontal="center"/>
    </xf>
    <xf numFmtId="168" fontId="28" fillId="9" borderId="17" xfId="1" applyFont="1" applyFill="1" applyBorder="1" applyAlignment="1">
      <alignment horizontal="center"/>
    </xf>
    <xf numFmtId="168" fontId="28" fillId="4" borderId="42" xfId="1" applyFont="1" applyFill="1" applyBorder="1" applyAlignment="1">
      <alignment horizontal="center"/>
    </xf>
    <xf numFmtId="168" fontId="28" fillId="4" borderId="27" xfId="1" applyFont="1" applyFill="1" applyBorder="1" applyAlignment="1">
      <alignment horizontal="center"/>
    </xf>
    <xf numFmtId="168" fontId="28" fillId="4" borderId="43" xfId="1" applyFont="1" applyFill="1" applyBorder="1" applyAlignment="1">
      <alignment horizontal="center"/>
    </xf>
    <xf numFmtId="0" fontId="81" fillId="18" borderId="1" xfId="0" applyFont="1" applyFill="1" applyBorder="1" applyAlignment="1">
      <alignment horizontal="center"/>
    </xf>
    <xf numFmtId="0" fontId="81" fillId="18" borderId="2" xfId="0" applyFont="1" applyFill="1" applyBorder="1" applyAlignment="1">
      <alignment horizontal="center"/>
    </xf>
    <xf numFmtId="0" fontId="81" fillId="18" borderId="21" xfId="0" applyFont="1" applyFill="1" applyBorder="1" applyAlignment="1">
      <alignment horizontal="center"/>
    </xf>
    <xf numFmtId="168" fontId="28" fillId="11" borderId="11" xfId="1" applyFont="1" applyFill="1" applyBorder="1" applyAlignment="1">
      <alignment horizontal="center"/>
    </xf>
    <xf numFmtId="168" fontId="28" fillId="11" borderId="0" xfId="1" applyFont="1" applyFill="1" applyBorder="1" applyAlignment="1">
      <alignment horizontal="center"/>
    </xf>
    <xf numFmtId="168" fontId="28" fillId="11" borderId="17" xfId="1" applyFont="1" applyFill="1" applyBorder="1" applyAlignment="1">
      <alignment horizontal="center"/>
    </xf>
    <xf numFmtId="168" fontId="28" fillId="10" borderId="33" xfId="1" applyFont="1" applyFill="1" applyBorder="1" applyAlignment="1">
      <alignment horizontal="center"/>
    </xf>
    <xf numFmtId="168" fontId="28" fillId="10" borderId="28" xfId="1" applyFont="1" applyFill="1" applyBorder="1" applyAlignment="1">
      <alignment horizontal="center"/>
    </xf>
    <xf numFmtId="168" fontId="28" fillId="10" borderId="34" xfId="1" applyFont="1" applyFill="1" applyBorder="1" applyAlignment="1">
      <alignment horizontal="center"/>
    </xf>
    <xf numFmtId="3" fontId="25" fillId="2" borderId="5" xfId="0" applyNumberFormat="1" applyFont="1" applyFill="1" applyBorder="1" applyAlignment="1">
      <alignment horizontal="center"/>
    </xf>
    <xf numFmtId="3" fontId="25" fillId="2" borderId="0" xfId="0" applyNumberFormat="1" applyFont="1" applyFill="1" applyAlignment="1">
      <alignment horizontal="center"/>
    </xf>
    <xf numFmtId="3" fontId="25" fillId="2" borderId="6" xfId="0" applyNumberFormat="1" applyFont="1" applyFill="1" applyBorder="1" applyAlignment="1">
      <alignment horizontal="center"/>
    </xf>
    <xf numFmtId="3" fontId="81" fillId="2" borderId="5" xfId="0" applyNumberFormat="1" applyFont="1" applyFill="1" applyBorder="1" applyAlignment="1">
      <alignment horizontal="center"/>
    </xf>
    <xf numFmtId="3" fontId="81" fillId="2" borderId="0" xfId="0" applyNumberFormat="1" applyFont="1" applyFill="1" applyAlignment="1">
      <alignment horizontal="center"/>
    </xf>
    <xf numFmtId="3" fontId="81" fillId="2" borderId="6" xfId="0" applyNumberFormat="1" applyFont="1" applyFill="1" applyBorder="1" applyAlignment="1">
      <alignment horizontal="center"/>
    </xf>
    <xf numFmtId="3" fontId="49" fillId="2" borderId="5" xfId="0" applyNumberFormat="1" applyFont="1" applyFill="1" applyBorder="1" applyAlignment="1">
      <alignment horizontal="center"/>
    </xf>
    <xf numFmtId="3" fontId="49" fillId="2" borderId="0" xfId="0" applyNumberFormat="1" applyFont="1" applyFill="1" applyAlignment="1">
      <alignment horizontal="center"/>
    </xf>
    <xf numFmtId="3" fontId="49" fillId="2" borderId="6" xfId="0" applyNumberFormat="1" applyFont="1" applyFill="1" applyBorder="1" applyAlignment="1">
      <alignment horizontal="center"/>
    </xf>
    <xf numFmtId="0" fontId="117" fillId="29" borderId="1" xfId="0" applyFont="1" applyFill="1" applyBorder="1" applyAlignment="1">
      <alignment horizontal="center"/>
    </xf>
    <xf numFmtId="0" fontId="117" fillId="29" borderId="21" xfId="0" applyFont="1" applyFill="1" applyBorder="1" applyAlignment="1">
      <alignment horizontal="center"/>
    </xf>
    <xf numFmtId="168" fontId="28" fillId="32" borderId="33" xfId="1" applyFont="1" applyFill="1" applyBorder="1" applyAlignment="1">
      <alignment horizontal="center"/>
    </xf>
    <xf numFmtId="168" fontId="28" fillId="32" borderId="28" xfId="1" applyFont="1" applyFill="1" applyBorder="1" applyAlignment="1">
      <alignment horizontal="center"/>
    </xf>
    <xf numFmtId="168" fontId="28" fillId="32" borderId="34" xfId="1" applyFont="1" applyFill="1" applyBorder="1" applyAlignment="1">
      <alignment horizontal="center"/>
    </xf>
    <xf numFmtId="0" fontId="49" fillId="32" borderId="1" xfId="0" applyFont="1" applyFill="1" applyBorder="1" applyAlignment="1">
      <alignment horizontal="center"/>
    </xf>
    <xf numFmtId="0" fontId="49" fillId="32" borderId="2" xfId="0" applyFont="1" applyFill="1" applyBorder="1" applyAlignment="1">
      <alignment horizontal="center"/>
    </xf>
    <xf numFmtId="0" fontId="49" fillId="32" borderId="21" xfId="0" applyFont="1" applyFill="1" applyBorder="1" applyAlignment="1">
      <alignment horizontal="center"/>
    </xf>
    <xf numFmtId="0" fontId="83" fillId="27" borderId="46" xfId="0" applyFont="1" applyFill="1" applyBorder="1" applyAlignment="1">
      <alignment horizontal="center"/>
    </xf>
    <xf numFmtId="0" fontId="83" fillId="27" borderId="47" xfId="0" applyFont="1" applyFill="1" applyBorder="1" applyAlignment="1">
      <alignment horizontal="center"/>
    </xf>
    <xf numFmtId="0" fontId="84" fillId="27" borderId="0" xfId="0" applyFont="1" applyFill="1" applyAlignment="1">
      <alignment horizontal="center"/>
    </xf>
    <xf numFmtId="0" fontId="87" fillId="0" borderId="0" xfId="0" applyFont="1" applyAlignment="1">
      <alignment horizontal="right"/>
    </xf>
    <xf numFmtId="168" fontId="33" fillId="4" borderId="0" xfId="1" applyFont="1" applyFill="1" applyBorder="1" applyAlignment="1">
      <alignment horizontal="center"/>
    </xf>
    <xf numFmtId="0" fontId="48" fillId="14" borderId="22" xfId="0" applyFont="1" applyFill="1" applyBorder="1" applyAlignment="1">
      <alignment horizontal="center" vertical="center"/>
    </xf>
    <xf numFmtId="0" fontId="48" fillId="14" borderId="3" xfId="0" applyFont="1" applyFill="1" applyBorder="1" applyAlignment="1">
      <alignment horizontal="center" vertical="center"/>
    </xf>
    <xf numFmtId="0" fontId="123" fillId="29" borderId="0" xfId="0" applyFont="1" applyFill="1" applyAlignment="1">
      <alignment horizontal="center"/>
    </xf>
    <xf numFmtId="0" fontId="123" fillId="29" borderId="6" xfId="0" applyFont="1" applyFill="1" applyBorder="1" applyAlignment="1">
      <alignment horizontal="center"/>
    </xf>
    <xf numFmtId="0" fontId="25" fillId="26" borderId="0" xfId="0" applyFont="1" applyFill="1" applyAlignment="1">
      <alignment horizontal="center"/>
    </xf>
    <xf numFmtId="0" fontId="39" fillId="0" borderId="0" xfId="0" applyFont="1" applyAlignment="1">
      <alignment horizontal="center" vertical="justify"/>
    </xf>
    <xf numFmtId="0" fontId="25" fillId="33" borderId="0" xfId="0" applyFont="1" applyFill="1" applyAlignment="1">
      <alignment horizontal="center"/>
    </xf>
    <xf numFmtId="0" fontId="147" fillId="0" borderId="36" xfId="0" applyFont="1" applyBorder="1" applyAlignment="1">
      <alignment horizontal="center"/>
    </xf>
    <xf numFmtId="0" fontId="147" fillId="0" borderId="37" xfId="0" applyFont="1" applyBorder="1" applyAlignment="1">
      <alignment horizontal="center"/>
    </xf>
    <xf numFmtId="0" fontId="147" fillId="0" borderId="38" xfId="0" applyFont="1" applyBorder="1" applyAlignment="1">
      <alignment horizontal="center"/>
    </xf>
    <xf numFmtId="0" fontId="49" fillId="16" borderId="0" xfId="0" applyFont="1" applyFill="1" applyAlignment="1">
      <alignment horizontal="center"/>
    </xf>
    <xf numFmtId="0" fontId="65" fillId="16" borderId="0" xfId="0" applyFont="1" applyFill="1" applyAlignment="1">
      <alignment horizontal="center"/>
    </xf>
    <xf numFmtId="0" fontId="65" fillId="16" borderId="13" xfId="0" applyFont="1" applyFill="1" applyBorder="1" applyAlignment="1">
      <alignment horizontal="center"/>
    </xf>
    <xf numFmtId="0" fontId="25" fillId="0" borderId="55" xfId="0" applyFont="1" applyBorder="1" applyAlignment="1">
      <alignment horizontal="center"/>
    </xf>
    <xf numFmtId="0" fontId="25" fillId="0" borderId="56" xfId="0" applyFont="1" applyBorder="1" applyAlignment="1">
      <alignment horizontal="center"/>
    </xf>
    <xf numFmtId="0" fontId="24" fillId="0" borderId="22" xfId="0" applyFont="1" applyBorder="1"/>
  </cellXfs>
  <cellStyles count="17">
    <cellStyle name="Collegamento ipertestuale" xfId="16" builtinId="8"/>
    <cellStyle name="Euro" xfId="1" xr:uid="{00000000-0005-0000-0000-000001000000}"/>
    <cellStyle name="Migliaia" xfId="2" builtinId="3"/>
    <cellStyle name="Migliaia [0]" xfId="3" builtinId="6"/>
    <cellStyle name="Migliaia [0] 2" xfId="9" xr:uid="{00000000-0005-0000-0000-000004000000}"/>
    <cellStyle name="Migliaia 2" xfId="8" xr:uid="{00000000-0005-0000-0000-000005000000}"/>
    <cellStyle name="Normale" xfId="0" builtinId="0"/>
    <cellStyle name="Normale 2" xfId="7" xr:uid="{00000000-0005-0000-0000-000007000000}"/>
    <cellStyle name="Normale 3" xfId="6" xr:uid="{00000000-0005-0000-0000-000008000000}"/>
    <cellStyle name="Normale 3 2" xfId="14" xr:uid="{00000000-0005-0000-0000-000009000000}"/>
    <cellStyle name="Normale 3 3" xfId="15" xr:uid="{00000000-0005-0000-0000-00000A000000}"/>
    <cellStyle name="Normale 3 4" xfId="13" xr:uid="{00000000-0005-0000-0000-00000B000000}"/>
    <cellStyle name="Percentuale" xfId="4" builtinId="5"/>
    <cellStyle name="Percentuale 2" xfId="10" xr:uid="{00000000-0005-0000-0000-00000D000000}"/>
    <cellStyle name="Valuta [0]" xfId="5" builtinId="7"/>
    <cellStyle name="Valuta [0] 2" xfId="12" xr:uid="{00000000-0005-0000-0000-000010000000}"/>
    <cellStyle name="Valuta 2" xfId="11" xr:uid="{00000000-0005-0000-0000-000011000000}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342901</xdr:colOff>
      <xdr:row>199</xdr:row>
      <xdr:rowOff>45428</xdr:rowOff>
    </xdr:from>
    <xdr:to>
      <xdr:col>9</xdr:col>
      <xdr:colOff>1009651</xdr:colOff>
      <xdr:row>201</xdr:row>
      <xdr:rowOff>123825</xdr:rowOff>
    </xdr:to>
    <xdr:sp macro="" textlink="">
      <xdr:nvSpPr>
        <xdr:cNvPr id="1494" name="AutoShape 23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SpPr>
          <a:spLocks noChangeArrowheads="1"/>
        </xdr:cNvSpPr>
      </xdr:nvSpPr>
      <xdr:spPr bwMode="auto">
        <a:xfrm>
          <a:off x="8239126" y="37878728"/>
          <a:ext cx="4686300" cy="459397"/>
        </a:xfrm>
        <a:prstGeom prst="wedgeRectCallout">
          <a:avLst>
            <a:gd name="adj1" fmla="val -58576"/>
            <a:gd name="adj2" fmla="val 118853"/>
          </a:avLst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it-IT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da ragguagliare all'anno</a:t>
          </a:r>
          <a:r>
            <a:rPr lang="it-IT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it-IT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in caso di periodo d'imposta di durata inf. o sup. all'anno e in caso di inizio e cessazione attività in corso d'anno. Per valori della produzione &gt; di 180.759,91 e &lt;= 180,999,91</a:t>
          </a:r>
          <a:r>
            <a:rPr lang="it-IT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it-IT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la deduzione è più bassa</a:t>
          </a:r>
          <a:r>
            <a:rPr lang="it-IT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. Vedi istruzioni Mod. IRAP</a:t>
          </a:r>
        </a:p>
      </xdr:txBody>
    </xdr:sp>
    <xdr:clientData/>
  </xdr:twoCellAnchor>
  <xdr:twoCellAnchor>
    <xdr:from>
      <xdr:col>6</xdr:col>
      <xdr:colOff>38100</xdr:colOff>
      <xdr:row>35</xdr:row>
      <xdr:rowOff>19050</xdr:rowOff>
    </xdr:from>
    <xdr:to>
      <xdr:col>6</xdr:col>
      <xdr:colOff>114300</xdr:colOff>
      <xdr:row>39</xdr:row>
      <xdr:rowOff>9525</xdr:rowOff>
    </xdr:to>
    <xdr:sp macro="" textlink="">
      <xdr:nvSpPr>
        <xdr:cNvPr id="3163" name="AutoShape 22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SpPr>
          <a:spLocks/>
        </xdr:cNvSpPr>
      </xdr:nvSpPr>
      <xdr:spPr bwMode="auto">
        <a:xfrm>
          <a:off x="7610475" y="6343650"/>
          <a:ext cx="76200" cy="561975"/>
        </a:xfrm>
        <a:prstGeom prst="rightBrace">
          <a:avLst>
            <a:gd name="adj1" fmla="val 6145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364148</xdr:colOff>
      <xdr:row>196</xdr:row>
      <xdr:rowOff>19051</xdr:rowOff>
    </xdr:from>
    <xdr:to>
      <xdr:col>8</xdr:col>
      <xdr:colOff>238125</xdr:colOff>
      <xdr:row>198</xdr:row>
      <xdr:rowOff>161926</xdr:rowOff>
    </xdr:to>
    <xdr:sp macro="" textlink="">
      <xdr:nvSpPr>
        <xdr:cNvPr id="1497" name="AutoShape 24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SpPr>
          <a:spLocks noChangeArrowheads="1"/>
        </xdr:cNvSpPr>
      </xdr:nvSpPr>
      <xdr:spPr bwMode="auto">
        <a:xfrm>
          <a:off x="8260373" y="37318951"/>
          <a:ext cx="2569552" cy="476250"/>
        </a:xfrm>
        <a:prstGeom prst="wedgeRectCallout">
          <a:avLst>
            <a:gd name="adj1" fmla="val -68483"/>
            <a:gd name="adj2" fmla="val 33840"/>
          </a:avLst>
        </a:prstGeom>
        <a:solidFill>
          <a:srgbClr val="FFC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it-IT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la deduzione spetta solo nel caso di </a:t>
          </a:r>
          <a:r>
            <a:rPr lang="it-IT" sz="900" b="0" i="0" u="sng" strike="noStrike" baseline="0">
              <a:solidFill>
                <a:srgbClr val="000000"/>
              </a:solidFill>
              <a:latin typeface="Arial"/>
              <a:cs typeface="Arial"/>
            </a:rPr>
            <a:t>componenti positivi</a:t>
          </a:r>
          <a:r>
            <a:rPr lang="it-IT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che concorrono alla formazione del valore della produzione </a:t>
          </a:r>
          <a:r>
            <a:rPr lang="it-IT" sz="900" b="0" i="0" u="sng" strike="noStrike" baseline="0">
              <a:solidFill>
                <a:srgbClr val="000000"/>
              </a:solidFill>
              <a:latin typeface="Arial"/>
              <a:cs typeface="Arial"/>
            </a:rPr>
            <a:t>non superiori a € 400.000,00</a:t>
          </a:r>
        </a:p>
      </xdr:txBody>
    </xdr:sp>
    <xdr:clientData/>
  </xdr:twoCellAnchor>
  <xdr:twoCellAnchor>
    <xdr:from>
      <xdr:col>2</xdr:col>
      <xdr:colOff>628650</xdr:colOff>
      <xdr:row>196</xdr:row>
      <xdr:rowOff>38101</xdr:rowOff>
    </xdr:from>
    <xdr:to>
      <xdr:col>2</xdr:col>
      <xdr:colOff>733425</xdr:colOff>
      <xdr:row>197</xdr:row>
      <xdr:rowOff>123825</xdr:rowOff>
    </xdr:to>
    <xdr:sp macro="" textlink="">
      <xdr:nvSpPr>
        <xdr:cNvPr id="3165" name="AutoShape 32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SpPr>
          <a:spLocks/>
        </xdr:cNvSpPr>
      </xdr:nvSpPr>
      <xdr:spPr bwMode="auto">
        <a:xfrm>
          <a:off x="1762125" y="35756851"/>
          <a:ext cx="104775" cy="247649"/>
        </a:xfrm>
        <a:prstGeom prst="leftBrace">
          <a:avLst>
            <a:gd name="adj1" fmla="val 43750"/>
            <a:gd name="adj2" fmla="val 50000"/>
          </a:avLst>
        </a:prstGeom>
        <a:noFill/>
        <a:ln w="9525">
          <a:solidFill>
            <a:srgbClr val="3366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2600325</xdr:colOff>
      <xdr:row>26</xdr:row>
      <xdr:rowOff>28575</xdr:rowOff>
    </xdr:from>
    <xdr:to>
      <xdr:col>3</xdr:col>
      <xdr:colOff>2800350</xdr:colOff>
      <xdr:row>28</xdr:row>
      <xdr:rowOff>152400</xdr:rowOff>
    </xdr:to>
    <xdr:sp macro="" textlink="">
      <xdr:nvSpPr>
        <xdr:cNvPr id="3166" name="AutoShape 59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SpPr>
          <a:spLocks/>
        </xdr:cNvSpPr>
      </xdr:nvSpPr>
      <xdr:spPr bwMode="auto">
        <a:xfrm>
          <a:off x="4486275" y="4572000"/>
          <a:ext cx="200025" cy="619125"/>
        </a:xfrm>
        <a:prstGeom prst="rightBrace">
          <a:avLst>
            <a:gd name="adj1" fmla="val 5244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1152525</xdr:colOff>
      <xdr:row>162</xdr:row>
      <xdr:rowOff>95249</xdr:rowOff>
    </xdr:from>
    <xdr:to>
      <xdr:col>11</xdr:col>
      <xdr:colOff>466725</xdr:colOff>
      <xdr:row>166</xdr:row>
      <xdr:rowOff>142874</xdr:rowOff>
    </xdr:to>
    <xdr:sp macro="" textlink="">
      <xdr:nvSpPr>
        <xdr:cNvPr id="3168" name="AutoShape 64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SpPr>
          <a:spLocks noChangeArrowheads="1"/>
        </xdr:cNvSpPr>
      </xdr:nvSpPr>
      <xdr:spPr bwMode="auto">
        <a:xfrm flipH="1">
          <a:off x="13049250" y="30832424"/>
          <a:ext cx="1571625" cy="7905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1181100</xdr:colOff>
      <xdr:row>170</xdr:row>
      <xdr:rowOff>28574</xdr:rowOff>
    </xdr:from>
    <xdr:to>
      <xdr:col>11</xdr:col>
      <xdr:colOff>447675</xdr:colOff>
      <xdr:row>173</xdr:row>
      <xdr:rowOff>76199</xdr:rowOff>
    </xdr:to>
    <xdr:sp macro="" textlink="">
      <xdr:nvSpPr>
        <xdr:cNvPr id="3169" name="AutoShape 66">
          <a:extLst>
            <a:ext uri="{FF2B5EF4-FFF2-40B4-BE49-F238E27FC236}">
              <a16:creationId xmlns:a16="http://schemas.microsoft.com/office/drawing/2014/main" id="{00000000-0008-0000-0000-0000610C0000}"/>
            </a:ext>
          </a:extLst>
        </xdr:cNvPr>
        <xdr:cNvSpPr>
          <a:spLocks noChangeArrowheads="1"/>
        </xdr:cNvSpPr>
      </xdr:nvSpPr>
      <xdr:spPr bwMode="auto">
        <a:xfrm rot="10800000">
          <a:off x="13077825" y="32289749"/>
          <a:ext cx="1524000" cy="6191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790575</xdr:colOff>
      <xdr:row>186</xdr:row>
      <xdr:rowOff>9525</xdr:rowOff>
    </xdr:from>
    <xdr:to>
      <xdr:col>11</xdr:col>
      <xdr:colOff>361950</xdr:colOff>
      <xdr:row>187</xdr:row>
      <xdr:rowOff>57150</xdr:rowOff>
    </xdr:to>
    <xdr:sp macro="" textlink="">
      <xdr:nvSpPr>
        <xdr:cNvPr id="3170" name="AutoShape 82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SpPr>
          <a:spLocks noChangeArrowheads="1"/>
        </xdr:cNvSpPr>
      </xdr:nvSpPr>
      <xdr:spPr bwMode="auto">
        <a:xfrm>
          <a:off x="12687300" y="35318700"/>
          <a:ext cx="1828800" cy="247650"/>
        </a:xfrm>
        <a:prstGeom prst="curvedDownArrow">
          <a:avLst>
            <a:gd name="adj1" fmla="val 222216"/>
            <a:gd name="adj2" fmla="val 208580"/>
            <a:gd name="adj3" fmla="val 24444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590549</xdr:colOff>
      <xdr:row>26</xdr:row>
      <xdr:rowOff>8659</xdr:rowOff>
    </xdr:from>
    <xdr:to>
      <xdr:col>3</xdr:col>
      <xdr:colOff>17317</xdr:colOff>
      <xdr:row>29</xdr:row>
      <xdr:rowOff>17317</xdr:rowOff>
    </xdr:to>
    <xdr:sp macro="" textlink="">
      <xdr:nvSpPr>
        <xdr:cNvPr id="2" name="Parentesi graffa aperta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1724890" y="4762500"/>
          <a:ext cx="180109" cy="701385"/>
        </a:xfrm>
        <a:prstGeom prst="leftBrace">
          <a:avLst>
            <a:gd name="adj1" fmla="val 8333"/>
            <a:gd name="adj2" fmla="val 46666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619125</xdr:colOff>
      <xdr:row>31</xdr:row>
      <xdr:rowOff>28575</xdr:rowOff>
    </xdr:from>
    <xdr:to>
      <xdr:col>2</xdr:col>
      <xdr:colOff>721994</xdr:colOff>
      <xdr:row>33</xdr:row>
      <xdr:rowOff>123825</xdr:rowOff>
    </xdr:to>
    <xdr:sp macro="" textlink="">
      <xdr:nvSpPr>
        <xdr:cNvPr id="3" name="Parentesi graffa apert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1752600" y="6362700"/>
          <a:ext cx="102869" cy="495300"/>
        </a:xfrm>
        <a:prstGeom prst="leftBrac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it-IT" sz="1100"/>
        </a:p>
      </xdr:txBody>
    </xdr:sp>
    <xdr:clientData/>
  </xdr:twoCellAnchor>
  <xdr:twoCellAnchor>
    <xdr:from>
      <xdr:col>7</xdr:col>
      <xdr:colOff>152400</xdr:colOff>
      <xdr:row>8</xdr:row>
      <xdr:rowOff>200025</xdr:rowOff>
    </xdr:from>
    <xdr:to>
      <xdr:col>7</xdr:col>
      <xdr:colOff>1343025</xdr:colOff>
      <xdr:row>8</xdr:row>
      <xdr:rowOff>200026</xdr:rowOff>
    </xdr:to>
    <xdr:cxnSp macro="">
      <xdr:nvCxnSpPr>
        <xdr:cNvPr id="6" name="Connettore 2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 bwMode="auto">
        <a:xfrm flipV="1">
          <a:off x="8620125" y="1219200"/>
          <a:ext cx="1190625" cy="1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2</xdr:col>
      <xdr:colOff>619125</xdr:colOff>
      <xdr:row>79</xdr:row>
      <xdr:rowOff>9525</xdr:rowOff>
    </xdr:from>
    <xdr:to>
      <xdr:col>2</xdr:col>
      <xdr:colOff>685800</xdr:colOff>
      <xdr:row>87</xdr:row>
      <xdr:rowOff>9525</xdr:rowOff>
    </xdr:to>
    <xdr:sp macro="" textlink="">
      <xdr:nvSpPr>
        <xdr:cNvPr id="5" name="Parentesi graffa aperta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 bwMode="auto">
        <a:xfrm>
          <a:off x="1771650" y="14601825"/>
          <a:ext cx="66675" cy="1447800"/>
        </a:xfrm>
        <a:prstGeom prst="leftBrac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it-IT" sz="1100"/>
        </a:p>
      </xdr:txBody>
    </xdr:sp>
    <xdr:clientData/>
  </xdr:twoCellAnchor>
  <xdr:twoCellAnchor>
    <xdr:from>
      <xdr:col>1</xdr:col>
      <xdr:colOff>502227</xdr:colOff>
      <xdr:row>22</xdr:row>
      <xdr:rowOff>25977</xdr:rowOff>
    </xdr:from>
    <xdr:to>
      <xdr:col>1</xdr:col>
      <xdr:colOff>606136</xdr:colOff>
      <xdr:row>23</xdr:row>
      <xdr:rowOff>181841</xdr:rowOff>
    </xdr:to>
    <xdr:sp macro="" textlink="">
      <xdr:nvSpPr>
        <xdr:cNvPr id="8" name="Parentesi graffa aperta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 bwMode="auto">
        <a:xfrm>
          <a:off x="744682" y="3853295"/>
          <a:ext cx="103909" cy="398319"/>
        </a:xfrm>
        <a:prstGeom prst="leftBrac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it-IT" sz="1100"/>
        </a:p>
      </xdr:txBody>
    </xdr:sp>
    <xdr:clientData/>
  </xdr:twoCellAnchor>
  <xdr:twoCellAnchor>
    <xdr:from>
      <xdr:col>1</xdr:col>
      <xdr:colOff>458930</xdr:colOff>
      <xdr:row>35</xdr:row>
      <xdr:rowOff>17317</xdr:rowOff>
    </xdr:from>
    <xdr:to>
      <xdr:col>1</xdr:col>
      <xdr:colOff>580159</xdr:colOff>
      <xdr:row>39</xdr:row>
      <xdr:rowOff>8658</xdr:rowOff>
    </xdr:to>
    <xdr:sp macro="" textlink="">
      <xdr:nvSpPr>
        <xdr:cNvPr id="9" name="Parentesi graffa apert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 bwMode="auto">
        <a:xfrm>
          <a:off x="701385" y="6451022"/>
          <a:ext cx="121229" cy="597477"/>
        </a:xfrm>
        <a:prstGeom prst="leftBrac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it-IT" sz="1100"/>
        </a:p>
      </xdr:txBody>
    </xdr:sp>
    <xdr:clientData/>
  </xdr:twoCellAnchor>
  <xdr:twoCellAnchor>
    <xdr:from>
      <xdr:col>1</xdr:col>
      <xdr:colOff>502227</xdr:colOff>
      <xdr:row>26</xdr:row>
      <xdr:rowOff>8659</xdr:rowOff>
    </xdr:from>
    <xdr:to>
      <xdr:col>1</xdr:col>
      <xdr:colOff>606136</xdr:colOff>
      <xdr:row>28</xdr:row>
      <xdr:rowOff>155864</xdr:rowOff>
    </xdr:to>
    <xdr:sp macro="" textlink="">
      <xdr:nvSpPr>
        <xdr:cNvPr id="10" name="Parentesi graffa apert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 bwMode="auto">
        <a:xfrm>
          <a:off x="744682" y="4762500"/>
          <a:ext cx="103909" cy="675409"/>
        </a:xfrm>
        <a:prstGeom prst="leftBrac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it-IT" sz="1100"/>
        </a:p>
      </xdr:txBody>
    </xdr:sp>
    <xdr:clientData/>
  </xdr:twoCellAnchor>
  <xdr:twoCellAnchor>
    <xdr:from>
      <xdr:col>1</xdr:col>
      <xdr:colOff>510886</xdr:colOff>
      <xdr:row>31</xdr:row>
      <xdr:rowOff>43295</xdr:rowOff>
    </xdr:from>
    <xdr:to>
      <xdr:col>1</xdr:col>
      <xdr:colOff>608559</xdr:colOff>
      <xdr:row>33</xdr:row>
      <xdr:rowOff>155864</xdr:rowOff>
    </xdr:to>
    <xdr:sp macro="" textlink="">
      <xdr:nvSpPr>
        <xdr:cNvPr id="11" name="Parentesi graffa apert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 bwMode="auto">
        <a:xfrm>
          <a:off x="753341" y="5818909"/>
          <a:ext cx="97673" cy="441614"/>
        </a:xfrm>
        <a:prstGeom prst="leftBrac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it-IT" sz="1100"/>
        </a:p>
      </xdr:txBody>
    </xdr:sp>
    <xdr:clientData/>
  </xdr:twoCellAnchor>
  <xdr:twoCellAnchor>
    <xdr:from>
      <xdr:col>1</xdr:col>
      <xdr:colOff>502227</xdr:colOff>
      <xdr:row>43</xdr:row>
      <xdr:rowOff>43295</xdr:rowOff>
    </xdr:from>
    <xdr:to>
      <xdr:col>1</xdr:col>
      <xdr:colOff>588818</xdr:colOff>
      <xdr:row>51</xdr:row>
      <xdr:rowOff>155863</xdr:rowOff>
    </xdr:to>
    <xdr:sp macro="" textlink="">
      <xdr:nvSpPr>
        <xdr:cNvPr id="12" name="Parentesi graffa aperta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 bwMode="auto">
        <a:xfrm>
          <a:off x="744682" y="7905750"/>
          <a:ext cx="86591" cy="1264227"/>
        </a:xfrm>
        <a:prstGeom prst="leftBrac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it-IT" sz="1100"/>
        </a:p>
      </xdr:txBody>
    </xdr:sp>
    <xdr:clientData/>
  </xdr:twoCellAnchor>
  <xdr:twoCellAnchor>
    <xdr:from>
      <xdr:col>1</xdr:col>
      <xdr:colOff>545522</xdr:colOff>
      <xdr:row>57</xdr:row>
      <xdr:rowOff>34637</xdr:rowOff>
    </xdr:from>
    <xdr:to>
      <xdr:col>1</xdr:col>
      <xdr:colOff>591241</xdr:colOff>
      <xdr:row>59</xdr:row>
      <xdr:rowOff>8659</xdr:rowOff>
    </xdr:to>
    <xdr:sp macro="" textlink="">
      <xdr:nvSpPr>
        <xdr:cNvPr id="13" name="Parentesi graffa aperta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 bwMode="auto">
        <a:xfrm>
          <a:off x="783647" y="10197812"/>
          <a:ext cx="45719" cy="326447"/>
        </a:xfrm>
        <a:prstGeom prst="leftBrac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it-IT" sz="1100"/>
        </a:p>
      </xdr:txBody>
    </xdr:sp>
    <xdr:clientData/>
  </xdr:twoCellAnchor>
  <xdr:twoCellAnchor>
    <xdr:from>
      <xdr:col>1</xdr:col>
      <xdr:colOff>266700</xdr:colOff>
      <xdr:row>65</xdr:row>
      <xdr:rowOff>15586</xdr:rowOff>
    </xdr:from>
    <xdr:to>
      <xdr:col>1</xdr:col>
      <xdr:colOff>533400</xdr:colOff>
      <xdr:row>74</xdr:row>
      <xdr:rowOff>123825</xdr:rowOff>
    </xdr:to>
    <xdr:sp macro="" textlink="">
      <xdr:nvSpPr>
        <xdr:cNvPr id="14" name="Parentesi graffa aperta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 bwMode="auto">
        <a:xfrm rot="10800000" flipH="1">
          <a:off x="504825" y="12007561"/>
          <a:ext cx="266700" cy="1727489"/>
        </a:xfrm>
        <a:prstGeom prst="leftBrace">
          <a:avLst>
            <a:gd name="adj1" fmla="val 8333"/>
            <a:gd name="adj2" fmla="val 49452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it-IT" sz="1100"/>
        </a:p>
      </xdr:txBody>
    </xdr:sp>
    <xdr:clientData/>
  </xdr:twoCellAnchor>
  <xdr:twoCellAnchor>
    <xdr:from>
      <xdr:col>9</xdr:col>
      <xdr:colOff>238125</xdr:colOff>
      <xdr:row>87</xdr:row>
      <xdr:rowOff>114300</xdr:rowOff>
    </xdr:from>
    <xdr:to>
      <xdr:col>9</xdr:col>
      <xdr:colOff>1162050</xdr:colOff>
      <xdr:row>89</xdr:row>
      <xdr:rowOff>38100</xdr:rowOff>
    </xdr:to>
    <xdr:sp macro="" textlink="">
      <xdr:nvSpPr>
        <xdr:cNvPr id="4" name="Freccia a destra 3">
          <a:extLst>
            <a:ext uri="{FF2B5EF4-FFF2-40B4-BE49-F238E27FC236}">
              <a16:creationId xmlns:a16="http://schemas.microsoft.com/office/drawing/2014/main" id="{1D9613F2-85AC-00C1-4A87-1489B6A7045A}"/>
            </a:ext>
          </a:extLst>
        </xdr:cNvPr>
        <xdr:cNvSpPr/>
      </xdr:nvSpPr>
      <xdr:spPr bwMode="auto">
        <a:xfrm rot="10800000">
          <a:off x="11725275" y="15430500"/>
          <a:ext cx="923925" cy="247650"/>
        </a:xfrm>
        <a:prstGeom prst="rightArrow">
          <a:avLst>
            <a:gd name="adj1" fmla="val 72032"/>
            <a:gd name="adj2" fmla="val 50000"/>
          </a:avLst>
        </a:prstGeom>
        <a:solidFill>
          <a:srgbClr val="FF0000"/>
        </a:solidFill>
        <a:ln w="381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utekne.it/Servizi/RassegnaLeggi/Recensione_Articolo.aspx?IDLegge=247&amp;IDArticolo=38536&amp;IDSrc=100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00"/>
  <sheetViews>
    <sheetView tabSelected="1" zoomScale="110" zoomScaleNormal="110" workbookViewId="0">
      <selection activeCell="H235" sqref="H235"/>
    </sheetView>
  </sheetViews>
  <sheetFormatPr defaultColWidth="9.140625" defaultRowHeight="12.75" x14ac:dyDescent="0.2"/>
  <cols>
    <col min="1" max="1" width="3.85546875" style="3" customWidth="1"/>
    <col min="2" max="2" width="13.85546875" style="3" customWidth="1"/>
    <col min="3" max="3" width="11.5703125" style="3" customWidth="1"/>
    <col min="4" max="4" width="44.140625" style="3" customWidth="1"/>
    <col min="5" max="5" width="25.5703125" style="3" customWidth="1"/>
    <col min="6" max="6" width="19.85546875" style="3" customWidth="1"/>
    <col min="7" max="7" width="13.42578125" style="3" customWidth="1"/>
    <col min="8" max="8" width="27" style="3" customWidth="1"/>
    <col min="9" max="9" width="19.85546875" style="3" customWidth="1"/>
    <col min="10" max="10" width="17.85546875" style="3" customWidth="1"/>
    <col min="11" max="11" width="16" style="3" customWidth="1"/>
    <col min="12" max="12" width="9.140625" style="3"/>
    <col min="13" max="13" width="12.42578125" style="3" bestFit="1" customWidth="1"/>
    <col min="14" max="14" width="11.42578125" style="3" customWidth="1"/>
    <col min="15" max="15" width="17.5703125" style="3" customWidth="1"/>
    <col min="16" max="16" width="10.7109375" style="3" bestFit="1" customWidth="1"/>
    <col min="17" max="16384" width="9.140625" style="3"/>
  </cols>
  <sheetData>
    <row r="1" spans="2:32" ht="27.75" customHeight="1" thickBot="1" x14ac:dyDescent="0.35">
      <c r="B1" s="1"/>
      <c r="C1" s="2" t="s">
        <v>0</v>
      </c>
      <c r="D1" s="497"/>
      <c r="E1" s="498"/>
      <c r="F1" s="499" t="s">
        <v>374</v>
      </c>
      <c r="G1" s="499"/>
      <c r="H1" s="499"/>
    </row>
    <row r="2" spans="2:32" ht="21" customHeight="1" thickBot="1" x14ac:dyDescent="0.4">
      <c r="B2" s="1"/>
      <c r="C2" s="238"/>
      <c r="D2" s="506" t="s">
        <v>360</v>
      </c>
      <c r="E2" s="506"/>
      <c r="F2" s="85" t="s">
        <v>195</v>
      </c>
      <c r="G2" s="359"/>
      <c r="H2" s="359"/>
    </row>
    <row r="3" spans="2:32" ht="21" customHeight="1" thickBot="1" x14ac:dyDescent="0.4">
      <c r="B3" s="1"/>
      <c r="C3" s="238"/>
      <c r="D3" s="508" t="s">
        <v>359</v>
      </c>
      <c r="E3" s="508"/>
      <c r="F3" s="85" t="s">
        <v>195</v>
      </c>
      <c r="G3" s="359"/>
      <c r="H3" s="359"/>
    </row>
    <row r="4" spans="2:32" ht="21" customHeight="1" thickBot="1" x14ac:dyDescent="0.4">
      <c r="B4" s="1"/>
      <c r="C4" s="238"/>
      <c r="D4" s="504" t="s">
        <v>361</v>
      </c>
      <c r="E4" s="505"/>
      <c r="F4" s="85" t="s">
        <v>363</v>
      </c>
      <c r="G4" s="359"/>
      <c r="H4" s="359"/>
    </row>
    <row r="5" spans="2:32" ht="13.5" customHeight="1" thickBot="1" x14ac:dyDescent="0.25">
      <c r="D5" s="3" t="s">
        <v>11</v>
      </c>
      <c r="E5" s="389"/>
      <c r="F5" s="390"/>
    </row>
    <row r="6" spans="2:32" x14ac:dyDescent="0.2">
      <c r="B6" s="4" t="s">
        <v>1</v>
      </c>
      <c r="C6" s="5" t="s">
        <v>2</v>
      </c>
      <c r="D6" s="6" t="s">
        <v>3</v>
      </c>
      <c r="E6" s="7"/>
      <c r="F6" s="7" t="s">
        <v>4</v>
      </c>
      <c r="G6" s="7" t="s">
        <v>4</v>
      </c>
      <c r="H6" s="7" t="s">
        <v>5</v>
      </c>
      <c r="I6" s="7" t="s">
        <v>6</v>
      </c>
      <c r="J6" s="7"/>
      <c r="K6" s="456" t="s">
        <v>119</v>
      </c>
      <c r="L6" s="457"/>
      <c r="M6" s="457"/>
      <c r="N6" s="457"/>
      <c r="O6" s="45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2:32" ht="19.5" customHeight="1" thickBot="1" x14ac:dyDescent="0.25">
      <c r="B7" s="9" t="s">
        <v>183</v>
      </c>
      <c r="C7" s="10" t="s">
        <v>7</v>
      </c>
      <c r="D7" s="11"/>
      <c r="E7" s="12"/>
      <c r="F7" s="12" t="s">
        <v>8</v>
      </c>
      <c r="G7" s="12" t="s">
        <v>9</v>
      </c>
      <c r="H7" s="12"/>
      <c r="I7" s="12"/>
      <c r="J7" s="12"/>
      <c r="K7" s="459"/>
      <c r="L7" s="460"/>
      <c r="M7" s="460"/>
      <c r="N7" s="460"/>
      <c r="O7" s="461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2:32" ht="13.5" thickBot="1" x14ac:dyDescent="0.25">
      <c r="B8" s="13"/>
      <c r="C8" s="14"/>
      <c r="D8" s="15"/>
      <c r="E8" s="16"/>
      <c r="F8" s="16"/>
      <c r="G8" s="16"/>
      <c r="H8" s="16"/>
      <c r="I8" s="16"/>
      <c r="J8" s="16"/>
      <c r="K8" s="17"/>
      <c r="L8" s="18"/>
      <c r="M8" s="18"/>
      <c r="N8" s="18"/>
      <c r="O8" s="19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2:32" ht="27" thickBot="1" x14ac:dyDescent="0.45">
      <c r="B9" s="13"/>
      <c r="C9" s="14"/>
      <c r="D9" s="500" t="s">
        <v>10</v>
      </c>
      <c r="E9" s="500"/>
      <c r="F9" s="500"/>
      <c r="G9" s="500"/>
      <c r="H9" s="8" t="s">
        <v>11</v>
      </c>
      <c r="I9" s="276">
        <v>0</v>
      </c>
      <c r="K9" s="480" t="s">
        <v>122</v>
      </c>
      <c r="L9" s="481"/>
      <c r="M9" s="481"/>
      <c r="N9" s="481"/>
      <c r="O9" s="482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2:32" x14ac:dyDescent="0.2">
      <c r="B10" s="13"/>
      <c r="C10" s="14"/>
      <c r="D10" s="20"/>
      <c r="E10" s="21"/>
      <c r="F10" s="21"/>
      <c r="G10" s="21"/>
      <c r="H10" s="8"/>
      <c r="I10" s="22">
        <v>0</v>
      </c>
      <c r="J10" s="16"/>
      <c r="K10" s="17"/>
      <c r="L10" s="18"/>
      <c r="M10" s="18"/>
      <c r="N10" s="18"/>
      <c r="O10" s="19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spans="2:32" ht="12.75" customHeight="1" thickBot="1" x14ac:dyDescent="0.25">
      <c r="B11" s="23"/>
      <c r="C11" s="1"/>
      <c r="D11" s="20"/>
      <c r="E11" s="8"/>
      <c r="F11" s="8"/>
      <c r="G11" s="8"/>
      <c r="H11" s="24"/>
      <c r="I11" s="24">
        <v>0</v>
      </c>
      <c r="J11" s="25"/>
      <c r="K11" s="26"/>
      <c r="L11" s="468">
        <v>0</v>
      </c>
      <c r="M11" s="469"/>
      <c r="N11" s="470"/>
      <c r="O11" s="27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2:32" ht="13.5" customHeight="1" thickBot="1" x14ac:dyDescent="0.3">
      <c r="B12" s="23"/>
      <c r="C12" s="28"/>
      <c r="E12" s="25"/>
      <c r="G12" s="238" t="s">
        <v>12</v>
      </c>
      <c r="H12" s="278"/>
      <c r="I12" s="105">
        <f>SUM(I9:I11)</f>
        <v>0</v>
      </c>
      <c r="J12" s="25"/>
      <c r="K12" s="26"/>
      <c r="L12" s="462">
        <v>0</v>
      </c>
      <c r="M12" s="463"/>
      <c r="N12" s="464"/>
      <c r="O12" s="27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spans="2:32" ht="12.75" customHeight="1" x14ac:dyDescent="0.2">
      <c r="B13" s="23"/>
      <c r="C13" s="30"/>
      <c r="D13" s="31" t="s">
        <v>32</v>
      </c>
      <c r="E13" s="25"/>
      <c r="F13" s="25"/>
      <c r="G13" s="25"/>
      <c r="H13" s="32"/>
      <c r="I13" s="278"/>
      <c r="J13" s="25"/>
      <c r="K13" s="26"/>
      <c r="L13" s="465">
        <v>0</v>
      </c>
      <c r="M13" s="466"/>
      <c r="N13" s="467"/>
      <c r="O13" s="27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spans="2:32" x14ac:dyDescent="0.2">
      <c r="B14" s="69" t="s">
        <v>42</v>
      </c>
      <c r="C14" s="34"/>
      <c r="D14" s="3" t="s">
        <v>153</v>
      </c>
      <c r="E14" s="25"/>
      <c r="F14" s="25">
        <v>0</v>
      </c>
      <c r="G14" s="25"/>
      <c r="H14" s="32"/>
      <c r="I14" s="8"/>
      <c r="J14" s="8"/>
      <c r="K14" s="26"/>
      <c r="L14" s="474">
        <v>0</v>
      </c>
      <c r="M14" s="475"/>
      <c r="N14" s="476"/>
      <c r="O14" s="27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2:32" ht="15.75" x14ac:dyDescent="0.25">
      <c r="B15" s="69" t="s">
        <v>43</v>
      </c>
      <c r="C15" s="34"/>
      <c r="D15" s="235" t="s">
        <v>398</v>
      </c>
      <c r="E15" s="25"/>
      <c r="F15" s="35">
        <f>E137</f>
        <v>0</v>
      </c>
      <c r="G15" s="25"/>
      <c r="H15" s="25"/>
      <c r="I15" s="8"/>
      <c r="J15" s="8"/>
      <c r="K15" s="26"/>
      <c r="L15" s="477">
        <v>0</v>
      </c>
      <c r="M15" s="478"/>
      <c r="N15" s="479"/>
      <c r="O15" s="27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2:32" x14ac:dyDescent="0.2">
      <c r="B16" s="69" t="s">
        <v>44</v>
      </c>
      <c r="C16" s="34"/>
      <c r="D16" s="3" t="s">
        <v>113</v>
      </c>
      <c r="E16" s="25"/>
      <c r="F16" s="25">
        <v>0</v>
      </c>
      <c r="G16" s="25"/>
      <c r="H16" s="25"/>
      <c r="I16" s="8"/>
      <c r="J16" s="8"/>
      <c r="K16" s="26"/>
      <c r="L16" s="491">
        <v>0</v>
      </c>
      <c r="M16" s="492"/>
      <c r="N16" s="493"/>
      <c r="O16" s="27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2:32" ht="18.75" x14ac:dyDescent="0.3">
      <c r="B17" s="69" t="s">
        <v>45</v>
      </c>
      <c r="C17" s="34"/>
      <c r="D17" s="3" t="s">
        <v>320</v>
      </c>
      <c r="E17" s="25"/>
      <c r="F17" s="25">
        <v>0</v>
      </c>
      <c r="G17" s="25"/>
      <c r="H17" s="25"/>
      <c r="I17" s="8"/>
      <c r="J17" s="8"/>
      <c r="K17" s="36"/>
      <c r="L17" s="37"/>
      <c r="M17" s="37"/>
      <c r="N17" s="37"/>
      <c r="O17" s="3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spans="2:32" ht="18.75" x14ac:dyDescent="0.3">
      <c r="B18" s="69" t="s">
        <v>81</v>
      </c>
      <c r="C18" s="34"/>
      <c r="D18" s="3" t="s">
        <v>297</v>
      </c>
      <c r="E18" s="25"/>
      <c r="F18" s="25">
        <v>0</v>
      </c>
      <c r="G18" s="25"/>
      <c r="I18" s="8"/>
      <c r="J18" s="8"/>
      <c r="K18" s="486" t="s">
        <v>120</v>
      </c>
      <c r="L18" s="487"/>
      <c r="M18" s="487"/>
      <c r="N18" s="487"/>
      <c r="O18" s="48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spans="2:32" ht="12.75" customHeight="1" x14ac:dyDescent="0.3">
      <c r="B19" s="69" t="s">
        <v>114</v>
      </c>
      <c r="C19" s="34"/>
      <c r="D19" s="3" t="s">
        <v>175</v>
      </c>
      <c r="E19" s="25"/>
      <c r="F19" s="25">
        <v>0</v>
      </c>
      <c r="G19" s="25"/>
      <c r="H19" s="25"/>
      <c r="I19" s="8"/>
      <c r="J19" s="8"/>
      <c r="K19" s="36"/>
      <c r="L19" s="37"/>
      <c r="M19" s="37"/>
      <c r="N19" s="37"/>
      <c r="O19" s="3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2:32" ht="15.75" customHeight="1" x14ac:dyDescent="0.3">
      <c r="B20" s="69" t="s">
        <v>115</v>
      </c>
      <c r="C20" s="34"/>
      <c r="D20" s="3" t="s">
        <v>241</v>
      </c>
      <c r="E20" s="25"/>
      <c r="F20" s="25">
        <v>0</v>
      </c>
      <c r="G20" s="25"/>
      <c r="H20" s="25"/>
      <c r="I20" s="8"/>
      <c r="J20" s="8"/>
      <c r="K20" s="483" t="s">
        <v>124</v>
      </c>
      <c r="L20" s="484"/>
      <c r="M20" s="484"/>
      <c r="N20" s="484"/>
      <c r="O20" s="485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spans="2:32" ht="12.75" customHeight="1" x14ac:dyDescent="0.3">
      <c r="B21" s="69" t="s">
        <v>82</v>
      </c>
      <c r="C21" s="34"/>
      <c r="D21" s="3" t="s">
        <v>84</v>
      </c>
      <c r="E21" s="25"/>
      <c r="F21" s="25">
        <v>0</v>
      </c>
      <c r="G21" s="25"/>
      <c r="H21" s="25"/>
      <c r="I21" s="8"/>
      <c r="J21" s="8"/>
      <c r="K21" s="36"/>
      <c r="L21" s="39"/>
      <c r="M21" s="39"/>
      <c r="N21" s="39"/>
      <c r="O21" s="3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spans="2:32" ht="15.75" customHeight="1" x14ac:dyDescent="0.3">
      <c r="B22" s="69" t="s">
        <v>83</v>
      </c>
      <c r="C22" s="34" t="s">
        <v>217</v>
      </c>
      <c r="D22" s="235" t="s">
        <v>394</v>
      </c>
      <c r="E22" s="25"/>
      <c r="F22" s="25">
        <v>0</v>
      </c>
      <c r="G22" s="25"/>
      <c r="H22" s="25"/>
      <c r="I22" s="8"/>
      <c r="J22" s="8"/>
      <c r="K22" s="486" t="s">
        <v>123</v>
      </c>
      <c r="L22" s="487"/>
      <c r="M22" s="487"/>
      <c r="N22" s="487"/>
      <c r="O22" s="48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spans="2:32" ht="15" customHeight="1" x14ac:dyDescent="0.3">
      <c r="B23" s="69" t="s">
        <v>46</v>
      </c>
      <c r="C23" s="303" t="s">
        <v>116</v>
      </c>
      <c r="D23" s="235" t="s">
        <v>381</v>
      </c>
      <c r="E23" s="25"/>
      <c r="F23" s="35">
        <f>IF((E158-J151)&gt;0,(E158-J151),0)</f>
        <v>0</v>
      </c>
      <c r="G23" s="25"/>
      <c r="H23" s="25"/>
      <c r="I23" s="8"/>
      <c r="J23" s="8"/>
      <c r="K23" s="36"/>
      <c r="L23" s="37"/>
      <c r="M23" s="39"/>
      <c r="N23" s="39"/>
      <c r="O23" s="3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spans="2:32" ht="15.75" customHeight="1" x14ac:dyDescent="0.3">
      <c r="B24" s="69" t="s">
        <v>46</v>
      </c>
      <c r="C24" s="302" t="s">
        <v>117</v>
      </c>
      <c r="D24" s="235" t="s">
        <v>375</v>
      </c>
      <c r="E24" s="25"/>
      <c r="F24" s="25">
        <v>0</v>
      </c>
      <c r="G24" s="25"/>
      <c r="H24" s="25"/>
      <c r="I24" s="8"/>
      <c r="J24" s="8"/>
      <c r="K24" s="483" t="s">
        <v>121</v>
      </c>
      <c r="L24" s="484"/>
      <c r="M24" s="484"/>
      <c r="N24" s="484"/>
      <c r="O24" s="485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spans="2:32" ht="15" x14ac:dyDescent="0.25">
      <c r="B25" s="69" t="s">
        <v>47</v>
      </c>
      <c r="C25" s="34" t="s">
        <v>216</v>
      </c>
      <c r="D25" s="247" t="s">
        <v>395</v>
      </c>
      <c r="E25" s="25"/>
      <c r="F25" s="25">
        <v>0</v>
      </c>
      <c r="G25" s="391"/>
      <c r="H25" s="44"/>
      <c r="I25" s="45"/>
      <c r="J25" s="45"/>
      <c r="K25" s="353"/>
      <c r="L25" s="354"/>
      <c r="M25" s="354"/>
      <c r="N25" s="354"/>
      <c r="O25" s="355"/>
      <c r="P25" s="227"/>
      <c r="Q25" s="227"/>
      <c r="R25" s="227"/>
      <c r="S25" s="227"/>
      <c r="T25" s="227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spans="2:32" x14ac:dyDescent="0.2">
      <c r="B26" s="69" t="s">
        <v>48</v>
      </c>
      <c r="C26" s="34"/>
      <c r="D26" s="3" t="s">
        <v>125</v>
      </c>
      <c r="E26" s="25"/>
      <c r="F26" s="25">
        <v>0</v>
      </c>
      <c r="G26" s="44"/>
      <c r="H26" s="44"/>
      <c r="I26" s="45"/>
      <c r="J26" s="45"/>
      <c r="K26" s="353"/>
      <c r="L26" s="354"/>
      <c r="M26" s="354"/>
      <c r="N26" s="354"/>
      <c r="O26" s="355"/>
      <c r="P26" s="227"/>
      <c r="Q26" s="227"/>
      <c r="R26" s="227"/>
      <c r="S26" s="227"/>
      <c r="T26" s="227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spans="2:32" ht="16.5" thickBot="1" x14ac:dyDescent="0.3">
      <c r="B27" s="69" t="s">
        <v>27</v>
      </c>
      <c r="C27" s="271"/>
      <c r="D27" s="235" t="s">
        <v>388</v>
      </c>
      <c r="E27" s="417" t="s">
        <v>389</v>
      </c>
      <c r="F27" s="25">
        <v>0</v>
      </c>
      <c r="G27" s="25"/>
      <c r="H27" s="25"/>
      <c r="I27" s="8"/>
      <c r="J27" s="8"/>
      <c r="K27" s="40"/>
      <c r="L27" s="41"/>
      <c r="M27" s="41"/>
      <c r="N27" s="41"/>
      <c r="O27" s="42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spans="2:32" ht="15.75" x14ac:dyDescent="0.25">
      <c r="B28" s="69" t="s">
        <v>27</v>
      </c>
      <c r="C28" s="416" t="s">
        <v>387</v>
      </c>
      <c r="D28" s="235" t="s">
        <v>174</v>
      </c>
      <c r="E28" s="43" t="s">
        <v>321</v>
      </c>
      <c r="F28" s="25">
        <v>0</v>
      </c>
      <c r="G28" s="25"/>
      <c r="H28" s="25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spans="2:32" ht="15.75" x14ac:dyDescent="0.25">
      <c r="B29" s="69" t="s">
        <v>27</v>
      </c>
      <c r="C29" s="34"/>
      <c r="D29" s="235" t="s">
        <v>385</v>
      </c>
      <c r="E29" s="43" t="s">
        <v>126</v>
      </c>
      <c r="F29" s="25">
        <v>0</v>
      </c>
      <c r="G29" s="25"/>
      <c r="H29" s="25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spans="2:32" ht="15" x14ac:dyDescent="0.25">
      <c r="B30" s="69" t="s">
        <v>28</v>
      </c>
      <c r="C30" s="34"/>
      <c r="D30" s="243" t="s">
        <v>127</v>
      </c>
      <c r="E30" s="25" t="s">
        <v>270</v>
      </c>
      <c r="F30" s="25">
        <v>0</v>
      </c>
      <c r="G30" s="25"/>
      <c r="H30" s="25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spans="2:32" x14ac:dyDescent="0.2">
      <c r="B31" s="69" t="s">
        <v>25</v>
      </c>
      <c r="C31" s="34"/>
      <c r="D31" s="3" t="s">
        <v>242</v>
      </c>
      <c r="E31" s="25"/>
      <c r="F31" s="25">
        <v>0</v>
      </c>
      <c r="G31" s="25"/>
      <c r="H31" s="25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2:32" ht="15.75" x14ac:dyDescent="0.25">
      <c r="B32" s="69" t="s">
        <v>29</v>
      </c>
      <c r="C32" s="271" t="s">
        <v>218</v>
      </c>
      <c r="D32" s="235" t="s">
        <v>71</v>
      </c>
      <c r="E32" s="25"/>
      <c r="F32" s="25">
        <v>0</v>
      </c>
      <c r="G32" s="25"/>
      <c r="H32" s="25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spans="2:32" ht="15.75" x14ac:dyDescent="0.25">
      <c r="B33" s="69" t="s">
        <v>29</v>
      </c>
      <c r="C33" s="271" t="s">
        <v>271</v>
      </c>
      <c r="D33" s="235" t="s">
        <v>50</v>
      </c>
      <c r="E33" s="25"/>
      <c r="F33" s="25">
        <v>0</v>
      </c>
      <c r="G33" s="25"/>
      <c r="H33" s="25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spans="2:32" ht="15.75" x14ac:dyDescent="0.25">
      <c r="B34" s="69" t="s">
        <v>29</v>
      </c>
      <c r="C34" s="271" t="s">
        <v>219</v>
      </c>
      <c r="D34" s="235" t="s">
        <v>384</v>
      </c>
      <c r="E34" s="25"/>
      <c r="F34" s="25">
        <v>0</v>
      </c>
      <c r="G34" s="25"/>
      <c r="H34" s="25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2:32" x14ac:dyDescent="0.2">
      <c r="B35" s="69" t="s">
        <v>30</v>
      </c>
      <c r="D35" s="3" t="s">
        <v>243</v>
      </c>
      <c r="E35" s="25"/>
      <c r="F35" s="25">
        <v>0</v>
      </c>
      <c r="G35" s="25"/>
      <c r="H35" s="25"/>
      <c r="I35" s="8"/>
      <c r="J35" s="8"/>
      <c r="K35" s="8"/>
      <c r="L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2:32" ht="18" customHeight="1" x14ac:dyDescent="0.35">
      <c r="B36" s="69" t="s">
        <v>85</v>
      </c>
      <c r="C36" s="303" t="s">
        <v>116</v>
      </c>
      <c r="D36" s="243" t="s">
        <v>390</v>
      </c>
      <c r="E36" s="311" t="s">
        <v>77</v>
      </c>
      <c r="F36" s="25">
        <v>0</v>
      </c>
      <c r="G36" s="429" t="s">
        <v>440</v>
      </c>
      <c r="H36" s="279"/>
      <c r="I36" s="279"/>
      <c r="J36" s="279"/>
      <c r="K36" s="8"/>
      <c r="L36" s="272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2:32" ht="17.25" x14ac:dyDescent="0.35">
      <c r="B37" s="69" t="s">
        <v>85</v>
      </c>
      <c r="C37" s="302" t="s">
        <v>117</v>
      </c>
      <c r="D37" s="235" t="s">
        <v>376</v>
      </c>
      <c r="E37" s="311" t="s">
        <v>77</v>
      </c>
      <c r="F37" s="25">
        <v>0</v>
      </c>
      <c r="G37" s="279" t="s">
        <v>439</v>
      </c>
      <c r="H37" s="279"/>
      <c r="I37" s="279"/>
      <c r="J37" s="279"/>
      <c r="K37" s="8"/>
      <c r="L37" s="272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spans="2:32" ht="14.25" customHeight="1" x14ac:dyDescent="0.35">
      <c r="B38" s="69" t="s">
        <v>85</v>
      </c>
      <c r="C38" s="302" t="s">
        <v>117</v>
      </c>
      <c r="D38" s="235" t="s">
        <v>391</v>
      </c>
      <c r="E38" s="311" t="s">
        <v>77</v>
      </c>
      <c r="F38" s="25">
        <v>0</v>
      </c>
      <c r="G38" s="279" t="s">
        <v>322</v>
      </c>
      <c r="H38" s="279"/>
      <c r="I38" s="279"/>
      <c r="J38" s="279"/>
      <c r="K38" s="8"/>
      <c r="L38" s="272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spans="2:32" ht="14.25" customHeight="1" x14ac:dyDescent="0.35">
      <c r="B39" s="69" t="s">
        <v>85</v>
      </c>
      <c r="C39" s="302"/>
      <c r="D39" s="243" t="s">
        <v>393</v>
      </c>
      <c r="E39" s="311"/>
      <c r="F39" s="25">
        <v>0</v>
      </c>
      <c r="G39" s="279"/>
      <c r="H39" s="279"/>
      <c r="I39" s="279"/>
      <c r="J39" s="279"/>
      <c r="K39" s="8"/>
      <c r="L39" s="272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spans="2:32" ht="15.75" x14ac:dyDescent="0.25">
      <c r="B40" s="69" t="s">
        <v>49</v>
      </c>
      <c r="C40" s="34" t="s">
        <v>220</v>
      </c>
      <c r="D40" s="235" t="s">
        <v>128</v>
      </c>
      <c r="E40" s="25"/>
      <c r="F40" s="35">
        <f>D145</f>
        <v>0</v>
      </c>
      <c r="G40" s="44"/>
      <c r="H40" s="44"/>
      <c r="I40" s="45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spans="2:32" x14ac:dyDescent="0.2">
      <c r="B41" s="69" t="s">
        <v>26</v>
      </c>
      <c r="C41" s="304" t="s">
        <v>377</v>
      </c>
      <c r="D41" s="314" t="s">
        <v>378</v>
      </c>
      <c r="E41" s="25"/>
      <c r="F41" s="25">
        <v>0</v>
      </c>
      <c r="G41" s="25"/>
      <c r="H41" s="25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spans="2:32" x14ac:dyDescent="0.2">
      <c r="B42" s="69" t="s">
        <v>130</v>
      </c>
      <c r="C42" s="34"/>
      <c r="D42" s="3" t="s">
        <v>272</v>
      </c>
      <c r="E42" s="25"/>
      <c r="F42" s="25">
        <v>0</v>
      </c>
      <c r="G42" s="25"/>
      <c r="H42" s="25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spans="2:32" x14ac:dyDescent="0.2">
      <c r="B43" s="69" t="s">
        <v>51</v>
      </c>
      <c r="C43" s="34"/>
      <c r="D43" s="414" t="s">
        <v>379</v>
      </c>
      <c r="E43" s="25"/>
      <c r="F43" s="25">
        <v>0</v>
      </c>
      <c r="G43" s="25"/>
      <c r="H43" s="25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spans="2:32" x14ac:dyDescent="0.2">
      <c r="B44" s="69" t="s">
        <v>39</v>
      </c>
      <c r="C44" s="46" t="s">
        <v>87</v>
      </c>
      <c r="D44" s="305" t="s">
        <v>380</v>
      </c>
      <c r="E44" s="25"/>
      <c r="F44" s="25">
        <v>0</v>
      </c>
      <c r="G44" s="25"/>
      <c r="H44" s="25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spans="2:32" x14ac:dyDescent="0.2">
      <c r="B45" s="69" t="s">
        <v>39</v>
      </c>
      <c r="C45" s="46" t="s">
        <v>382</v>
      </c>
      <c r="D45" s="415" t="s">
        <v>392</v>
      </c>
      <c r="E45" s="25"/>
      <c r="F45" s="25">
        <v>0</v>
      </c>
      <c r="G45" s="25"/>
      <c r="H45" s="25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spans="2:32" x14ac:dyDescent="0.2">
      <c r="B46" s="69" t="s">
        <v>39</v>
      </c>
      <c r="C46" s="46" t="s">
        <v>88</v>
      </c>
      <c r="D46" s="3" t="s">
        <v>383</v>
      </c>
      <c r="E46" s="25"/>
      <c r="F46" s="25">
        <v>0</v>
      </c>
      <c r="G46" s="25"/>
      <c r="H46" s="25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spans="2:32" ht="15.75" x14ac:dyDescent="0.25">
      <c r="B47" s="69" t="s">
        <v>39</v>
      </c>
      <c r="C47" s="46" t="s">
        <v>131</v>
      </c>
      <c r="D47" s="235" t="s">
        <v>177</v>
      </c>
      <c r="E47" s="50"/>
      <c r="F47" s="25">
        <v>0</v>
      </c>
      <c r="G47" s="25"/>
      <c r="H47" s="25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spans="2:32" ht="15" x14ac:dyDescent="0.25">
      <c r="B48" s="69" t="s">
        <v>39</v>
      </c>
      <c r="C48" s="46" t="s">
        <v>176</v>
      </c>
      <c r="D48" s="247" t="s">
        <v>386</v>
      </c>
      <c r="E48" s="25"/>
      <c r="F48" s="25">
        <v>0</v>
      </c>
      <c r="G48" s="25"/>
      <c r="H48" s="25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spans="2:32" x14ac:dyDescent="0.2">
      <c r="B49" s="69" t="s">
        <v>39</v>
      </c>
      <c r="C49" s="46" t="s">
        <v>221</v>
      </c>
      <c r="D49" s="3" t="s">
        <v>222</v>
      </c>
      <c r="E49" s="25"/>
      <c r="F49" s="25">
        <v>0</v>
      </c>
      <c r="G49" s="25"/>
      <c r="H49" s="25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spans="2:32" ht="15.75" x14ac:dyDescent="0.25">
      <c r="B50" s="69" t="s">
        <v>39</v>
      </c>
      <c r="C50" s="306" t="s">
        <v>74</v>
      </c>
      <c r="D50" s="238" t="s">
        <v>13</v>
      </c>
      <c r="E50" s="25"/>
      <c r="F50" s="25">
        <v>0</v>
      </c>
      <c r="G50" s="25"/>
      <c r="H50" s="25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spans="2:32" ht="15" x14ac:dyDescent="0.25">
      <c r="B51" s="69" t="s">
        <v>39</v>
      </c>
      <c r="C51" s="306" t="s">
        <v>74</v>
      </c>
      <c r="D51" s="29" t="s">
        <v>396</v>
      </c>
      <c r="E51" s="47">
        <v>0</v>
      </c>
      <c r="F51" s="35">
        <f>E51*20%</f>
        <v>0</v>
      </c>
      <c r="G51" s="25"/>
      <c r="H51" s="25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2:32" ht="15" x14ac:dyDescent="0.25">
      <c r="B52" s="69" t="s">
        <v>39</v>
      </c>
      <c r="C52" s="306" t="s">
        <v>74</v>
      </c>
      <c r="D52" s="243" t="s">
        <v>14</v>
      </c>
      <c r="E52" s="32"/>
      <c r="F52" s="25">
        <v>0</v>
      </c>
      <c r="G52" s="25"/>
      <c r="H52" s="25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spans="2:32" x14ac:dyDescent="0.2">
      <c r="B53" s="69"/>
      <c r="C53" s="28"/>
      <c r="D53" s="48" t="s">
        <v>31</v>
      </c>
      <c r="E53" s="32"/>
      <c r="F53" s="25"/>
      <c r="G53" s="25"/>
      <c r="H53" s="25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spans="2:32" ht="15.75" x14ac:dyDescent="0.25">
      <c r="B54" s="69" t="s">
        <v>40</v>
      </c>
      <c r="C54" s="34"/>
      <c r="D54" s="235" t="s">
        <v>397</v>
      </c>
      <c r="E54" s="25"/>
      <c r="F54" s="49"/>
      <c r="G54" s="35">
        <f>D135</f>
        <v>0</v>
      </c>
      <c r="H54" s="25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spans="2:32" x14ac:dyDescent="0.2">
      <c r="B55" s="69" t="s">
        <v>244</v>
      </c>
      <c r="D55" s="3" t="s">
        <v>245</v>
      </c>
      <c r="E55" s="25"/>
      <c r="F55" s="49"/>
      <c r="G55" s="50">
        <v>0</v>
      </c>
      <c r="H55" s="25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spans="2:32" x14ac:dyDescent="0.2">
      <c r="B56" s="69" t="s">
        <v>33</v>
      </c>
      <c r="D56" s="3" t="s">
        <v>154</v>
      </c>
      <c r="E56" s="25" t="s">
        <v>11</v>
      </c>
      <c r="F56" s="49" t="s">
        <v>11</v>
      </c>
      <c r="G56" s="50">
        <v>0</v>
      </c>
      <c r="H56" s="25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spans="2:32" x14ac:dyDescent="0.2">
      <c r="B57" s="69" t="s">
        <v>86</v>
      </c>
      <c r="C57" s="271" t="s">
        <v>223</v>
      </c>
      <c r="D57" s="3" t="s">
        <v>298</v>
      </c>
      <c r="E57" s="25"/>
      <c r="F57" s="49"/>
      <c r="G57" s="50">
        <v>0</v>
      </c>
      <c r="H57" s="25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spans="2:32" ht="15" x14ac:dyDescent="0.25">
      <c r="B58" s="69" t="s">
        <v>52</v>
      </c>
      <c r="C58" s="271" t="s">
        <v>224</v>
      </c>
      <c r="D58" s="312" t="s">
        <v>399</v>
      </c>
      <c r="E58" s="25"/>
      <c r="F58" s="49"/>
      <c r="G58" s="35">
        <f>(F36*75%)+F38</f>
        <v>0</v>
      </c>
      <c r="H58" s="51"/>
      <c r="I58" s="8"/>
      <c r="J58" s="52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spans="2:32" x14ac:dyDescent="0.2">
      <c r="B59" s="69" t="s">
        <v>52</v>
      </c>
      <c r="D59" s="3" t="s">
        <v>178</v>
      </c>
      <c r="E59" s="25"/>
      <c r="F59" s="49"/>
      <c r="G59" s="50">
        <v>0</v>
      </c>
      <c r="H59" s="51"/>
      <c r="I59" s="8"/>
      <c r="J59" s="52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spans="2:32" x14ac:dyDescent="0.2">
      <c r="B60" s="69" t="s">
        <v>53</v>
      </c>
      <c r="D60" s="3" t="s">
        <v>247</v>
      </c>
      <c r="E60" s="25"/>
      <c r="F60" s="49"/>
      <c r="G60" s="50">
        <v>0</v>
      </c>
      <c r="H60" s="25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spans="2:32" x14ac:dyDescent="0.2">
      <c r="B61" s="69" t="s">
        <v>72</v>
      </c>
      <c r="D61" s="3" t="s">
        <v>179</v>
      </c>
      <c r="E61" s="25"/>
      <c r="F61" s="49"/>
      <c r="G61" s="50">
        <v>0</v>
      </c>
      <c r="H61" s="25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spans="2:32" x14ac:dyDescent="0.2">
      <c r="B62" s="69" t="s">
        <v>34</v>
      </c>
      <c r="D62" s="29" t="s">
        <v>246</v>
      </c>
      <c r="E62" s="25"/>
      <c r="F62" s="49"/>
      <c r="G62" s="50">
        <v>0</v>
      </c>
      <c r="H62" s="25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spans="2:32" x14ac:dyDescent="0.2">
      <c r="B63" s="69" t="s">
        <v>73</v>
      </c>
      <c r="D63" s="3" t="s">
        <v>323</v>
      </c>
      <c r="E63" s="25"/>
      <c r="F63" s="49"/>
      <c r="G63" s="50">
        <v>0</v>
      </c>
      <c r="H63" s="25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spans="2:32" x14ac:dyDescent="0.2">
      <c r="B64" s="69" t="s">
        <v>41</v>
      </c>
      <c r="D64" s="3" t="s">
        <v>273</v>
      </c>
      <c r="E64" s="25"/>
      <c r="F64" s="49"/>
      <c r="G64" s="50">
        <v>0</v>
      </c>
      <c r="H64" s="25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spans="1:32" x14ac:dyDescent="0.2">
      <c r="B65" s="69" t="s">
        <v>180</v>
      </c>
      <c r="D65" s="3" t="s">
        <v>181</v>
      </c>
      <c r="E65" s="25"/>
      <c r="F65" s="49"/>
      <c r="G65" s="50"/>
      <c r="H65" s="25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spans="1:32" x14ac:dyDescent="0.2">
      <c r="B66" s="69" t="s">
        <v>118</v>
      </c>
      <c r="C66" s="46" t="s">
        <v>87</v>
      </c>
      <c r="D66" s="29" t="s">
        <v>78</v>
      </c>
      <c r="E66" s="25"/>
      <c r="F66" s="49"/>
      <c r="G66" s="50">
        <v>0</v>
      </c>
      <c r="H66" s="25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spans="1:32" x14ac:dyDescent="0.2">
      <c r="B67" s="69" t="s">
        <v>118</v>
      </c>
      <c r="C67" s="46" t="s">
        <v>129</v>
      </c>
      <c r="D67" s="3" t="s">
        <v>299</v>
      </c>
      <c r="E67" s="25"/>
      <c r="F67" s="49"/>
      <c r="G67" s="35">
        <f>E146</f>
        <v>0</v>
      </c>
      <c r="H67" s="25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spans="1:32" x14ac:dyDescent="0.2">
      <c r="B68" s="69" t="s">
        <v>118</v>
      </c>
      <c r="C68" s="46" t="s">
        <v>75</v>
      </c>
      <c r="D68" s="53" t="s">
        <v>184</v>
      </c>
      <c r="E68" s="54"/>
      <c r="F68" s="49"/>
      <c r="G68" s="35">
        <f>IF(J192&gt;0,J192,0)</f>
        <v>0</v>
      </c>
      <c r="H68" s="25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spans="1:32" x14ac:dyDescent="0.2">
      <c r="B69" s="69" t="s">
        <v>118</v>
      </c>
      <c r="C69" s="46" t="s">
        <v>133</v>
      </c>
      <c r="D69" s="3" t="s">
        <v>135</v>
      </c>
      <c r="E69" s="25"/>
      <c r="F69" s="49"/>
      <c r="G69" s="50">
        <v>0</v>
      </c>
      <c r="H69" s="25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spans="1:32" x14ac:dyDescent="0.2">
      <c r="B70" s="69" t="s">
        <v>118</v>
      </c>
      <c r="C70" s="46" t="s">
        <v>104</v>
      </c>
      <c r="D70" s="55" t="s">
        <v>185</v>
      </c>
      <c r="E70" s="54"/>
      <c r="F70" s="56"/>
      <c r="G70" s="35">
        <f>IF(J185&gt;0,J185,0)</f>
        <v>0</v>
      </c>
      <c r="H70" s="25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spans="1:32" x14ac:dyDescent="0.2">
      <c r="B71" s="69" t="s">
        <v>118</v>
      </c>
      <c r="C71" s="1" t="s">
        <v>274</v>
      </c>
      <c r="D71" s="3" t="s">
        <v>248</v>
      </c>
      <c r="E71" s="61"/>
      <c r="F71" s="49"/>
      <c r="G71" s="61">
        <v>0</v>
      </c>
      <c r="H71" s="25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spans="1:32" x14ac:dyDescent="0.2">
      <c r="B72" s="69" t="s">
        <v>118</v>
      </c>
      <c r="C72" s="1" t="s">
        <v>250</v>
      </c>
      <c r="D72" s="3" t="s">
        <v>249</v>
      </c>
      <c r="E72" s="61"/>
      <c r="F72" s="49"/>
      <c r="G72" s="61">
        <v>0</v>
      </c>
      <c r="H72" s="25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spans="1:32" x14ac:dyDescent="0.2">
      <c r="B73" s="69" t="s">
        <v>118</v>
      </c>
      <c r="C73" s="1" t="s">
        <v>324</v>
      </c>
      <c r="D73" s="3" t="s">
        <v>325</v>
      </c>
      <c r="E73" s="61"/>
      <c r="F73" s="49"/>
      <c r="G73" s="61">
        <v>0</v>
      </c>
      <c r="H73" s="357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spans="1:32" x14ac:dyDescent="0.2">
      <c r="B74" s="69" t="s">
        <v>118</v>
      </c>
      <c r="C74" s="46" t="s">
        <v>74</v>
      </c>
      <c r="D74" s="3" t="s">
        <v>112</v>
      </c>
      <c r="E74" s="25"/>
      <c r="F74" s="49"/>
      <c r="G74" s="61">
        <v>0</v>
      </c>
      <c r="H74" s="25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spans="1:32" x14ac:dyDescent="0.2">
      <c r="B75" s="69" t="s">
        <v>118</v>
      </c>
      <c r="C75" s="46" t="s">
        <v>76</v>
      </c>
      <c r="D75" s="58" t="s">
        <v>132</v>
      </c>
      <c r="E75" s="59"/>
      <c r="F75" s="49"/>
      <c r="G75" s="35">
        <f>IF(J151&gt;0,IF(E156-E150&gt;0,E156-E150,0),0)</f>
        <v>0</v>
      </c>
      <c r="H75" s="25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spans="1:32" x14ac:dyDescent="0.2">
      <c r="B76" s="29"/>
      <c r="C76" s="28"/>
      <c r="E76" s="104" t="s">
        <v>15</v>
      </c>
      <c r="F76" s="220">
        <f>SUM(F14:F52)</f>
        <v>0</v>
      </c>
      <c r="G76" s="220">
        <f>SUM(G54:G75)</f>
        <v>0</v>
      </c>
      <c r="H76" s="60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spans="1:32" x14ac:dyDescent="0.2">
      <c r="B77" s="29"/>
      <c r="C77" s="28"/>
      <c r="E77" s="25"/>
      <c r="F77" s="3" t="s">
        <v>16</v>
      </c>
      <c r="G77" s="25"/>
      <c r="H77" s="33">
        <f>+F76</f>
        <v>0</v>
      </c>
      <c r="I77" s="8"/>
      <c r="J77" s="25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spans="1:32" x14ac:dyDescent="0.2">
      <c r="B78" s="29"/>
      <c r="C78" s="28"/>
      <c r="E78" s="25"/>
      <c r="F78" s="3" t="s">
        <v>17</v>
      </c>
      <c r="G78" s="25"/>
      <c r="H78" s="33">
        <f>-G76</f>
        <v>0</v>
      </c>
      <c r="I78" s="8"/>
      <c r="J78" s="25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spans="1:32" ht="8.25" customHeight="1" thickBot="1" x14ac:dyDescent="0.25">
      <c r="A79" s="424"/>
      <c r="B79" s="281"/>
      <c r="C79" s="280"/>
      <c r="E79" s="25"/>
      <c r="F79" s="25"/>
      <c r="G79" s="25"/>
      <c r="H79" s="61"/>
      <c r="I79" s="8"/>
      <c r="J79" s="25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spans="1:32" ht="21" customHeight="1" thickBot="1" x14ac:dyDescent="0.4">
      <c r="A80" s="423" t="s">
        <v>238</v>
      </c>
      <c r="B80" s="425" t="s">
        <v>252</v>
      </c>
      <c r="C80" s="280"/>
      <c r="D80" s="509" t="s">
        <v>251</v>
      </c>
      <c r="E80" s="510"/>
      <c r="F80" s="511"/>
      <c r="G80" s="25"/>
      <c r="H80" s="261" t="s">
        <v>204</v>
      </c>
      <c r="I80" s="261" t="s">
        <v>182</v>
      </c>
      <c r="J80" s="62" t="s">
        <v>186</v>
      </c>
      <c r="K80" s="63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spans="1:32" ht="15.75" thickBot="1" x14ac:dyDescent="0.3">
      <c r="A81" s="284" t="s">
        <v>231</v>
      </c>
      <c r="B81" s="281"/>
      <c r="C81" s="280"/>
      <c r="D81" s="204"/>
      <c r="E81" s="211"/>
      <c r="F81" s="210"/>
      <c r="G81" s="64"/>
      <c r="H81" s="65">
        <f>IF(F3="NO",IF((I12+H77+H78)&gt;=0,(I12+H77+H78),0),E126)</f>
        <v>0</v>
      </c>
      <c r="I81" s="66">
        <f>IF(F3="NO",IF((I12+H77+H78)&lt;0,(I12+H77+H78),0),E126)</f>
        <v>0</v>
      </c>
      <c r="J81" s="67" t="s">
        <v>161</v>
      </c>
      <c r="K81" s="63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spans="1:32" ht="18" customHeight="1" x14ac:dyDescent="0.2">
      <c r="A82" s="282" t="s">
        <v>232</v>
      </c>
      <c r="B82" s="283"/>
      <c r="C82" s="285"/>
      <c r="D82" s="205" t="s">
        <v>106</v>
      </c>
      <c r="E82" s="68">
        <v>0</v>
      </c>
      <c r="F82" s="209" t="s">
        <v>103</v>
      </c>
      <c r="G82" s="69"/>
      <c r="H82" s="216">
        <f>IF((E82&gt;H81),H81,E82)</f>
        <v>0</v>
      </c>
      <c r="I82" s="217" t="s">
        <v>91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spans="1:32" ht="12.75" hidden="1" customHeight="1" x14ac:dyDescent="0.2">
      <c r="A83" s="282" t="s">
        <v>233</v>
      </c>
      <c r="B83" s="283"/>
      <c r="C83" s="285"/>
      <c r="D83" s="206"/>
      <c r="E83" s="70"/>
      <c r="F83" s="71"/>
      <c r="G83" s="69"/>
      <c r="H83" s="72">
        <f>H81-H82</f>
        <v>0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spans="1:32" ht="16.5" customHeight="1" x14ac:dyDescent="0.2">
      <c r="A84" s="282" t="s">
        <v>233</v>
      </c>
      <c r="B84" s="283"/>
      <c r="C84" s="285"/>
      <c r="D84" s="207" t="s">
        <v>107</v>
      </c>
      <c r="E84" s="273" t="s">
        <v>433</v>
      </c>
      <c r="F84" s="208"/>
      <c r="G84" s="69"/>
      <c r="H84" s="219">
        <f>IF(H83&gt;0,IF(H81*80%&gt;E86,E86,H81*80%),0)</f>
        <v>0</v>
      </c>
      <c r="I84" s="218" t="s">
        <v>92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spans="1:32" ht="18" customHeight="1" thickBot="1" x14ac:dyDescent="0.25">
      <c r="A85" s="282" t="s">
        <v>234</v>
      </c>
      <c r="C85" s="285"/>
      <c r="D85" s="502" t="s">
        <v>105</v>
      </c>
      <c r="E85" s="212"/>
      <c r="F85" s="213" t="s">
        <v>89</v>
      </c>
      <c r="G85" s="69"/>
      <c r="H85" s="73">
        <f>H83-H84</f>
        <v>0</v>
      </c>
      <c r="I85" s="74" t="s">
        <v>93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spans="1:32" ht="14.25" customHeight="1" x14ac:dyDescent="0.2">
      <c r="A86" s="282" t="s">
        <v>235</v>
      </c>
      <c r="B86" s="283"/>
      <c r="C86" s="285"/>
      <c r="D86" s="502"/>
      <c r="E86" s="68">
        <v>0</v>
      </c>
      <c r="F86" s="214" t="s">
        <v>90</v>
      </c>
      <c r="G86" s="69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spans="1:32" ht="12.75" customHeight="1" thickBot="1" x14ac:dyDescent="0.25">
      <c r="A87" s="281" t="s">
        <v>236</v>
      </c>
      <c r="B87" s="281"/>
      <c r="C87" s="286"/>
      <c r="D87" s="503"/>
      <c r="E87" s="274" t="s">
        <v>434</v>
      </c>
      <c r="F87" s="215" t="s">
        <v>262</v>
      </c>
      <c r="G87" s="25"/>
      <c r="H87" s="501">
        <f>IF(H85&gt;0,H85,I81)</f>
        <v>0</v>
      </c>
      <c r="I87" s="501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spans="1:32" ht="12.75" customHeight="1" thickBot="1" x14ac:dyDescent="0.3">
      <c r="A88" s="281" t="s">
        <v>237</v>
      </c>
      <c r="B88" s="281"/>
      <c r="C88" s="286"/>
      <c r="D88" s="75"/>
      <c r="E88" s="61"/>
      <c r="F88" s="203"/>
      <c r="G88" s="25"/>
      <c r="J88" s="8"/>
      <c r="K88" s="358" t="s">
        <v>327</v>
      </c>
      <c r="L88" s="76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spans="1:32" ht="24.75" customHeight="1" thickBot="1" x14ac:dyDescent="0.45">
      <c r="A89" s="281"/>
      <c r="B89" s="281"/>
      <c r="C89" s="286"/>
      <c r="D89" s="75"/>
      <c r="E89" s="515" t="s">
        <v>400</v>
      </c>
      <c r="F89" s="516"/>
      <c r="G89" s="516"/>
      <c r="H89" s="516"/>
      <c r="I89" s="411">
        <v>0</v>
      </c>
      <c r="J89" s="8"/>
      <c r="K89" s="358" t="s">
        <v>328</v>
      </c>
      <c r="L89" s="76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spans="1:32" ht="12.75" customHeight="1" x14ac:dyDescent="0.2">
      <c r="A90" s="281"/>
      <c r="B90" s="281"/>
      <c r="C90" s="286"/>
      <c r="D90" s="75"/>
      <c r="E90" s="61"/>
      <c r="F90" s="203"/>
      <c r="G90" s="25"/>
      <c r="J90" s="8"/>
      <c r="K90" s="8"/>
      <c r="L90" s="76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spans="1:32" ht="13.5" thickBot="1" x14ac:dyDescent="0.25">
      <c r="B91" s="29"/>
      <c r="C91" s="28"/>
      <c r="D91" s="77"/>
      <c r="E91" s="78"/>
      <c r="F91" s="78"/>
      <c r="G91" s="346" t="s">
        <v>348</v>
      </c>
      <c r="H91" s="226">
        <v>0</v>
      </c>
      <c r="I91" s="221" t="s">
        <v>94</v>
      </c>
      <c r="J91" s="227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spans="1:32" ht="19.5" thickBot="1" x14ac:dyDescent="0.35">
      <c r="B92" s="29"/>
      <c r="C92" s="28"/>
      <c r="D92" s="512" t="s">
        <v>187</v>
      </c>
      <c r="E92" s="512"/>
      <c r="F92" s="512"/>
      <c r="G92" s="79" t="s">
        <v>159</v>
      </c>
      <c r="H92" s="222">
        <f>IF(F2="SI",0,H87)-H91</f>
        <v>0</v>
      </c>
      <c r="I92" s="223">
        <f>IF(F2="NO",IF(H87&gt;0,MIN(I89,H87),0),0)</f>
        <v>0</v>
      </c>
      <c r="J92" s="224">
        <f>IF(H92&gt;0,H92-I92,H92)</f>
        <v>0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spans="1:32" x14ac:dyDescent="0.2">
      <c r="B93" s="29"/>
      <c r="C93" s="28"/>
      <c r="E93" s="25"/>
      <c r="F93" s="25"/>
      <c r="G93" s="25"/>
      <c r="H93" s="225" t="s">
        <v>95</v>
      </c>
      <c r="I93" s="221" t="s">
        <v>160</v>
      </c>
      <c r="J93" s="221" t="s">
        <v>253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spans="1:32" ht="7.5" customHeight="1" x14ac:dyDescent="0.2">
      <c r="B94" s="29"/>
      <c r="C94" s="28"/>
      <c r="E94" s="25"/>
      <c r="F94" s="25"/>
      <c r="G94" s="25"/>
      <c r="H94" s="80"/>
      <c r="I94" s="81"/>
      <c r="J94" s="81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spans="1:32" ht="13.5" thickBot="1" x14ac:dyDescent="0.25">
      <c r="B95" s="29"/>
      <c r="C95" s="28"/>
      <c r="E95" s="25"/>
      <c r="F95" s="25"/>
      <c r="G95" s="25"/>
      <c r="H95" s="82"/>
      <c r="I95" s="83" t="s">
        <v>94</v>
      </c>
      <c r="J95" s="84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spans="1:32" ht="19.5" customHeight="1" thickBot="1" x14ac:dyDescent="0.25">
      <c r="B96" s="29"/>
      <c r="G96" s="86" t="s">
        <v>102</v>
      </c>
      <c r="H96" s="87">
        <f>IF(H87&gt;0,IF(F2="SI",H87,0),0)-H91</f>
        <v>0</v>
      </c>
      <c r="I96" s="88">
        <f>IF(F2="SI",IF(H87&gt;0,MIN(I89,H87),0),0)</f>
        <v>0</v>
      </c>
      <c r="J96" s="89">
        <f>IF(F2="SI",IF(H96&gt;0,H96-I96,H96),0)</f>
        <v>0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spans="2:32" x14ac:dyDescent="0.2">
      <c r="B97" s="29"/>
      <c r="C97" s="28"/>
      <c r="E97" s="25"/>
      <c r="F97" s="90"/>
      <c r="G97" s="91"/>
      <c r="H97" s="92" t="s">
        <v>95</v>
      </c>
      <c r="I97" s="83" t="s">
        <v>96</v>
      </c>
      <c r="J97" s="83" t="s">
        <v>226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spans="2:32" ht="7.5" customHeight="1" x14ac:dyDescent="0.2">
      <c r="B98" s="29"/>
      <c r="C98" s="28"/>
      <c r="E98" s="25"/>
      <c r="F98" s="90"/>
      <c r="G98" s="91"/>
      <c r="H98" s="337"/>
      <c r="I98" s="338"/>
      <c r="J98" s="33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spans="2:32" ht="18.75" x14ac:dyDescent="0.3">
      <c r="B99" s="29"/>
      <c r="C99" s="28"/>
      <c r="D99" s="344" t="s">
        <v>311</v>
      </c>
      <c r="E99" s="340">
        <v>0.24</v>
      </c>
      <c r="F99" s="343">
        <f>IF(J92&gt;0,J92*E99,0)</f>
        <v>0</v>
      </c>
      <c r="G99" s="91"/>
      <c r="H99" s="337"/>
      <c r="I99" s="338"/>
      <c r="J99" s="33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spans="2:32" ht="16.5" customHeight="1" thickBot="1" x14ac:dyDescent="0.25">
      <c r="B100" s="29"/>
      <c r="C100" s="28"/>
      <c r="E100" s="339" t="s">
        <v>313</v>
      </c>
      <c r="F100" s="341">
        <v>0</v>
      </c>
      <c r="G100" s="91"/>
      <c r="H100" s="337"/>
      <c r="I100" s="338"/>
      <c r="J100" s="33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spans="2:32" ht="19.5" customHeight="1" thickBot="1" x14ac:dyDescent="0.4">
      <c r="B101" s="29"/>
      <c r="C101" s="28"/>
      <c r="D101" s="513" t="s">
        <v>312</v>
      </c>
      <c r="E101" s="514"/>
      <c r="F101" s="287">
        <f>F99-F100</f>
        <v>0</v>
      </c>
      <c r="G101" s="91"/>
      <c r="H101" s="91"/>
      <c r="I101" s="93"/>
      <c r="J101" s="25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spans="2:32" ht="8.25" customHeight="1" x14ac:dyDescent="0.2">
      <c r="B102" s="29"/>
      <c r="C102" s="28"/>
      <c r="E102" s="8"/>
      <c r="F102" s="91"/>
      <c r="G102" s="91"/>
      <c r="H102" s="91"/>
      <c r="I102" s="25"/>
      <c r="J102" s="25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spans="2:32" x14ac:dyDescent="0.2">
      <c r="B103" s="29"/>
      <c r="C103" s="28"/>
      <c r="D103" s="3" t="s">
        <v>11</v>
      </c>
      <c r="E103" s="8"/>
      <c r="F103" s="91"/>
      <c r="G103" s="94" t="s">
        <v>38</v>
      </c>
      <c r="H103" s="95"/>
      <c r="I103" s="96">
        <f>+I12-F101-E117-F208</f>
        <v>0</v>
      </c>
      <c r="J103" s="25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spans="2:32" ht="17.25" customHeight="1" x14ac:dyDescent="0.25">
      <c r="B104" s="29"/>
      <c r="C104" s="28"/>
      <c r="D104" s="97" t="s">
        <v>326</v>
      </c>
      <c r="E104" s="348" t="s">
        <v>318</v>
      </c>
      <c r="F104" s="57">
        <v>0</v>
      </c>
      <c r="G104" s="98"/>
      <c r="H104" s="8"/>
      <c r="I104" s="8"/>
      <c r="J104" s="9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spans="2:32" x14ac:dyDescent="0.2">
      <c r="B105" s="29"/>
      <c r="C105" s="28"/>
      <c r="D105" s="97" t="s">
        <v>315</v>
      </c>
      <c r="E105" s="348" t="s">
        <v>314</v>
      </c>
      <c r="F105" s="347">
        <f>F101-F104</f>
        <v>0</v>
      </c>
      <c r="G105" s="98"/>
      <c r="H105" s="8"/>
      <c r="I105" s="8"/>
      <c r="J105" s="9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spans="2:32" ht="17.25" customHeight="1" x14ac:dyDescent="0.2">
      <c r="B106" s="29"/>
      <c r="C106" s="28"/>
      <c r="D106" s="97" t="s">
        <v>316</v>
      </c>
      <c r="E106" s="348" t="s">
        <v>317</v>
      </c>
      <c r="F106" s="412">
        <v>0</v>
      </c>
      <c r="G106" s="413"/>
      <c r="H106" s="413"/>
      <c r="I106" s="413"/>
      <c r="J106" s="413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spans="2:32" ht="22.5" customHeight="1" x14ac:dyDescent="0.3">
      <c r="B107" s="29"/>
      <c r="C107" s="28"/>
      <c r="D107" s="349" t="s">
        <v>225</v>
      </c>
      <c r="E107" s="8"/>
      <c r="F107" s="422">
        <f>F105-F106</f>
        <v>0</v>
      </c>
      <c r="G107" s="413"/>
      <c r="H107" s="413"/>
      <c r="I107" s="413"/>
      <c r="J107" s="413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spans="2:32" ht="12.75" customHeight="1" x14ac:dyDescent="0.2">
      <c r="B108" s="29"/>
      <c r="C108" s="29"/>
      <c r="D108" s="439" t="s">
        <v>263</v>
      </c>
      <c r="E108" s="426" t="s">
        <v>436</v>
      </c>
      <c r="F108" s="99" t="b">
        <f>IF(F4="SI",IF((F105&gt;0),IF((F105*100%*0.5)&lt;103,0,F105*100%*0.5)),IF((F105&gt;0),IF((F105*100%*0.4)&lt;103,0,F105*100%*0.4)))</f>
        <v>0</v>
      </c>
      <c r="G108" s="8"/>
      <c r="L108" s="8"/>
      <c r="N108"/>
      <c r="O10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spans="2:32" ht="12.75" customHeight="1" x14ac:dyDescent="0.2">
      <c r="B109" s="29"/>
      <c r="C109" s="29"/>
      <c r="D109" s="440"/>
      <c r="E109" s="427" t="s">
        <v>401</v>
      </c>
      <c r="F109" s="99" t="b">
        <f>IF(F4="SI",IF((F105&gt;0),IF((F105*100%*0.5)&lt;103,F105*100%,F105*100%*0.5)),F105*0.6)</f>
        <v>0</v>
      </c>
      <c r="G109" s="406"/>
      <c r="I109" s="23"/>
      <c r="K109" s="8"/>
      <c r="L109" s="8"/>
      <c r="N109"/>
      <c r="O109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spans="2:32" ht="13.5" thickBot="1" x14ac:dyDescent="0.25">
      <c r="B110" s="29"/>
      <c r="C110" s="28"/>
      <c r="E110" s="8"/>
      <c r="F110" s="8"/>
      <c r="G110" s="98"/>
      <c r="H110" s="8"/>
      <c r="I110" s="8"/>
      <c r="J110" s="98"/>
      <c r="K110"/>
      <c r="L110"/>
      <c r="M110"/>
      <c r="N110"/>
      <c r="O110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spans="2:32" ht="18.75" x14ac:dyDescent="0.3">
      <c r="B111" s="494" t="s">
        <v>407</v>
      </c>
      <c r="C111" s="495"/>
      <c r="D111" s="495"/>
      <c r="E111" s="495"/>
      <c r="F111" s="495"/>
      <c r="G111" s="495"/>
      <c r="H111" s="495"/>
      <c r="I111" s="495"/>
      <c r="J111" s="496"/>
      <c r="K111"/>
      <c r="L111"/>
      <c r="M111"/>
      <c r="N111"/>
      <c r="O111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spans="2:32" ht="13.5" thickBot="1" x14ac:dyDescent="0.25">
      <c r="B112" s="100" t="s">
        <v>339</v>
      </c>
      <c r="C112" s="372" t="s">
        <v>337</v>
      </c>
      <c r="E112" s="8"/>
      <c r="F112" s="8"/>
      <c r="G112" s="98"/>
      <c r="H112" s="8"/>
      <c r="I112" s="8"/>
      <c r="J112" s="101"/>
      <c r="K112"/>
      <c r="L112"/>
      <c r="M112"/>
      <c r="N112"/>
      <c r="O112"/>
      <c r="P112" s="102"/>
      <c r="Q112" s="45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spans="1:32" ht="25.5" customHeight="1" x14ac:dyDescent="0.35">
      <c r="B113" s="392" t="s">
        <v>329</v>
      </c>
      <c r="C113" s="373" t="s">
        <v>402</v>
      </c>
      <c r="E113" s="57">
        <v>0</v>
      </c>
      <c r="F113" s="374"/>
      <c r="H113" s="489" t="s">
        <v>337</v>
      </c>
      <c r="I113" s="490"/>
      <c r="J113" s="368"/>
      <c r="M113"/>
      <c r="N113"/>
      <c r="O113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spans="1:32" ht="15.75" x14ac:dyDescent="0.25">
      <c r="B114" s="392" t="s">
        <v>330</v>
      </c>
      <c r="C114" s="243" t="s">
        <v>406</v>
      </c>
      <c r="E114" s="57">
        <v>0</v>
      </c>
      <c r="F114" s="418" t="s">
        <v>335</v>
      </c>
      <c r="H114" s="396" t="s">
        <v>403</v>
      </c>
      <c r="I114" s="362" t="s">
        <v>334</v>
      </c>
      <c r="J114" s="101"/>
      <c r="M114"/>
      <c r="N114"/>
      <c r="O114"/>
      <c r="P114" s="45"/>
      <c r="Q114" s="45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spans="1:32" ht="18.75" customHeight="1" x14ac:dyDescent="0.35">
      <c r="A115" s="104"/>
      <c r="B115" s="392" t="s">
        <v>331</v>
      </c>
      <c r="C115" s="375" t="s">
        <v>332</v>
      </c>
      <c r="E115" s="33">
        <f>IF((E113-E114)&gt;0,E113-E114,0)</f>
        <v>0</v>
      </c>
      <c r="F115" s="61"/>
      <c r="H115" s="365" t="s">
        <v>346</v>
      </c>
      <c r="I115" s="363">
        <v>0.1</v>
      </c>
      <c r="J115" s="369"/>
      <c r="M115"/>
      <c r="N115"/>
      <c r="O115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spans="1:32" ht="19.5" customHeight="1" thickBot="1" x14ac:dyDescent="0.4">
      <c r="B116" s="392" t="s">
        <v>333</v>
      </c>
      <c r="D116" s="376" t="s">
        <v>334</v>
      </c>
      <c r="E116" s="419">
        <v>0.12</v>
      </c>
      <c r="F116" s="377"/>
      <c r="H116" s="366" t="s">
        <v>347</v>
      </c>
      <c r="I116" s="361">
        <v>0.12</v>
      </c>
      <c r="J116" s="369"/>
      <c r="M116"/>
      <c r="N116"/>
      <c r="O116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spans="1:32" ht="19.5" thickBot="1" x14ac:dyDescent="0.35">
      <c r="B117" s="392" t="s">
        <v>336</v>
      </c>
      <c r="D117" s="378" t="s">
        <v>337</v>
      </c>
      <c r="E117" s="105">
        <f>IF(F3="SI",E115*E116,0)</f>
        <v>0</v>
      </c>
      <c r="F117" s="377"/>
      <c r="H117" s="367" t="s">
        <v>338</v>
      </c>
      <c r="I117" s="364">
        <v>0.15</v>
      </c>
      <c r="J117" s="107"/>
      <c r="M117"/>
      <c r="N117"/>
      <c r="O117"/>
      <c r="P117" s="106"/>
      <c r="Q117" s="106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spans="1:32" ht="12.75" customHeight="1" x14ac:dyDescent="0.35">
      <c r="B118" s="370"/>
      <c r="C118" s="379"/>
      <c r="E118" s="61"/>
      <c r="F118" s="8"/>
      <c r="G118" s="98"/>
      <c r="H118" s="360"/>
      <c r="I118" s="8"/>
      <c r="J118" s="371"/>
      <c r="K118"/>
      <c r="L118"/>
      <c r="M118"/>
      <c r="N118"/>
      <c r="O118"/>
      <c r="P118" s="106"/>
      <c r="Q118" s="106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spans="1:32" ht="15" customHeight="1" x14ac:dyDescent="0.2">
      <c r="B119" s="100" t="s">
        <v>340</v>
      </c>
      <c r="C119" s="372" t="s">
        <v>349</v>
      </c>
      <c r="E119" s="380"/>
      <c r="F119" s="61"/>
      <c r="G119" s="98"/>
      <c r="H119" s="43" t="s">
        <v>405</v>
      </c>
      <c r="J119" s="371"/>
      <c r="K119"/>
      <c r="L119"/>
      <c r="M119"/>
      <c r="N119"/>
      <c r="O119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spans="1:32" ht="25.5" customHeight="1" x14ac:dyDescent="0.2">
      <c r="A120" s="104"/>
      <c r="B120" s="392" t="s">
        <v>342</v>
      </c>
      <c r="C120" s="507" t="s">
        <v>369</v>
      </c>
      <c r="D120" s="46" t="s">
        <v>370</v>
      </c>
      <c r="E120" s="57">
        <v>0</v>
      </c>
      <c r="F120" s="81"/>
      <c r="H120" s="43" t="s">
        <v>404</v>
      </c>
      <c r="I120" s="8"/>
      <c r="J120" s="371"/>
      <c r="K120"/>
      <c r="L120"/>
      <c r="M120"/>
      <c r="N120"/>
      <c r="O120"/>
      <c r="P120" s="106"/>
      <c r="Q120" s="106"/>
      <c r="R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spans="1:32" ht="18.75" x14ac:dyDescent="0.3">
      <c r="A121" s="104"/>
      <c r="B121" s="370"/>
      <c r="C121" s="507"/>
      <c r="D121" s="1" t="s">
        <v>371</v>
      </c>
      <c r="E121" s="57">
        <v>0</v>
      </c>
      <c r="F121" s="81"/>
      <c r="J121" s="371"/>
      <c r="K121"/>
      <c r="L121"/>
      <c r="M121"/>
      <c r="N121"/>
      <c r="O121"/>
      <c r="R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spans="1:32" ht="8.25" customHeight="1" x14ac:dyDescent="0.35">
      <c r="B122" s="370"/>
      <c r="C122" s="379"/>
      <c r="E122" s="8"/>
      <c r="F122" s="8"/>
      <c r="G122" s="98"/>
      <c r="H122" s="382"/>
      <c r="I122" s="345"/>
      <c r="J122" s="371"/>
      <c r="K122"/>
      <c r="L122"/>
      <c r="M122"/>
      <c r="N122"/>
      <c r="O122"/>
      <c r="P122" s="106"/>
      <c r="Q122" s="106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spans="1:32" ht="21" x14ac:dyDescent="0.35">
      <c r="B123" s="392" t="s">
        <v>343</v>
      </c>
      <c r="C123" s="373" t="s">
        <v>365</v>
      </c>
      <c r="E123" s="33">
        <f>E113-E115</f>
        <v>0</v>
      </c>
      <c r="F123" s="61"/>
      <c r="G123" s="81"/>
      <c r="H123" s="381"/>
      <c r="J123" s="107"/>
      <c r="K123"/>
      <c r="L123"/>
      <c r="M123"/>
      <c r="N123"/>
      <c r="O123"/>
      <c r="P123" s="106"/>
      <c r="Q123" s="106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spans="1:32" ht="21" x14ac:dyDescent="0.35">
      <c r="B124" s="392" t="s">
        <v>344</v>
      </c>
      <c r="C124" s="383" t="s">
        <v>341</v>
      </c>
      <c r="E124" s="33">
        <f>E120-E121</f>
        <v>0</v>
      </c>
      <c r="F124" s="61"/>
      <c r="G124" s="81"/>
      <c r="H124" s="8"/>
      <c r="I124" s="81"/>
      <c r="J124" s="101"/>
      <c r="K124"/>
      <c r="L124"/>
      <c r="M124"/>
      <c r="N124"/>
      <c r="O124"/>
      <c r="P124" s="106"/>
      <c r="Q124" s="106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spans="1:32" ht="1.5" customHeight="1" thickBot="1" x14ac:dyDescent="0.4">
      <c r="B125" s="392"/>
      <c r="C125" s="383"/>
      <c r="E125" s="386">
        <f>IF((2000-E115)&gt;0,(2000-E115),0)</f>
        <v>2000</v>
      </c>
      <c r="F125" s="61"/>
      <c r="G125" s="81"/>
      <c r="H125" s="8"/>
      <c r="I125" s="81"/>
      <c r="J125" s="101"/>
      <c r="K125"/>
      <c r="L125"/>
      <c r="M125"/>
      <c r="N125"/>
      <c r="O125"/>
      <c r="P125" s="106"/>
      <c r="Q125" s="106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spans="1:32" ht="21.75" thickBot="1" x14ac:dyDescent="0.4">
      <c r="B126" s="392" t="s">
        <v>345</v>
      </c>
      <c r="C126" s="384" t="s">
        <v>366</v>
      </c>
      <c r="E126" s="387">
        <f>IF((E123+E124)&gt;E125,(E123+E124),E125)</f>
        <v>2000</v>
      </c>
      <c r="F126" s="61"/>
      <c r="G126" s="81"/>
      <c r="H126" s="8"/>
      <c r="J126" s="107"/>
      <c r="K126"/>
      <c r="L126"/>
      <c r="M126"/>
      <c r="N126"/>
      <c r="O126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spans="1:32" ht="1.5" customHeight="1" x14ac:dyDescent="0.2">
      <c r="B127" s="100"/>
      <c r="C127" s="28"/>
      <c r="E127" s="192">
        <f>E126-(E123+E124)</f>
        <v>2000</v>
      </c>
      <c r="F127" s="8"/>
      <c r="G127" s="98"/>
      <c r="H127" s="8"/>
      <c r="J127" s="107"/>
      <c r="K127"/>
      <c r="L127"/>
      <c r="M127"/>
      <c r="N127"/>
      <c r="O127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spans="1:32" ht="9" customHeight="1" thickBot="1" x14ac:dyDescent="0.25">
      <c r="B128" s="109"/>
      <c r="C128" s="110"/>
      <c r="D128" s="200"/>
      <c r="E128" s="103"/>
      <c r="F128" s="103"/>
      <c r="G128" s="385"/>
      <c r="H128" s="103"/>
      <c r="I128" s="103"/>
      <c r="J128" s="263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spans="2:32" ht="36.75" customHeight="1" thickBot="1" x14ac:dyDescent="0.25">
      <c r="B129" s="29"/>
      <c r="C129" s="28"/>
      <c r="E129" s="8"/>
      <c r="F129" s="8"/>
      <c r="G129" s="98"/>
      <c r="H129" s="8"/>
      <c r="I129" s="8"/>
      <c r="J129" s="9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spans="2:32" ht="15" customHeight="1" x14ac:dyDescent="0.3">
      <c r="B130" s="239" t="s">
        <v>151</v>
      </c>
      <c r="C130" s="111"/>
      <c r="D130" s="313"/>
      <c r="E130" s="127">
        <v>2025</v>
      </c>
      <c r="F130" s="127">
        <f>E130+1</f>
        <v>2026</v>
      </c>
      <c r="G130" s="127">
        <f>F130+1</f>
        <v>2027</v>
      </c>
      <c r="H130" s="127">
        <f>G130+1</f>
        <v>2028</v>
      </c>
      <c r="I130" s="127">
        <f>H130+1</f>
        <v>2029</v>
      </c>
      <c r="J130" s="12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spans="2:32" x14ac:dyDescent="0.2">
      <c r="B131" s="112"/>
      <c r="C131" s="3">
        <v>2021</v>
      </c>
      <c r="D131" s="57">
        <v>0</v>
      </c>
      <c r="E131" s="61">
        <f>D131/5</f>
        <v>0</v>
      </c>
      <c r="F131" s="113"/>
      <c r="G131" s="113"/>
      <c r="H131" s="113"/>
      <c r="I131" s="113"/>
      <c r="J131" s="114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spans="2:32" x14ac:dyDescent="0.2">
      <c r="B132" s="112"/>
      <c r="C132" s="3">
        <f>C131+1</f>
        <v>2022</v>
      </c>
      <c r="D132" s="57">
        <v>0</v>
      </c>
      <c r="E132" s="61">
        <f>D132/5</f>
        <v>0</v>
      </c>
      <c r="F132" s="61">
        <f>D132/5</f>
        <v>0</v>
      </c>
      <c r="G132" s="113"/>
      <c r="H132" s="115"/>
      <c r="I132" s="113"/>
      <c r="J132" s="114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spans="2:32" x14ac:dyDescent="0.2">
      <c r="B133" s="112"/>
      <c r="C133" s="3">
        <f>C132+1</f>
        <v>2023</v>
      </c>
      <c r="D133" s="57">
        <v>0</v>
      </c>
      <c r="E133" s="61">
        <f>D133/5</f>
        <v>0</v>
      </c>
      <c r="F133" s="61">
        <f>D133/5</f>
        <v>0</v>
      </c>
      <c r="G133" s="61">
        <f>F133</f>
        <v>0</v>
      </c>
      <c r="H133" s="113"/>
      <c r="I133" s="113"/>
      <c r="J133" s="114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spans="2:32" x14ac:dyDescent="0.2">
      <c r="B134" s="112"/>
      <c r="C134" s="3">
        <f>C133+1</f>
        <v>2024</v>
      </c>
      <c r="D134" s="57">
        <v>0</v>
      </c>
      <c r="E134" s="61">
        <f>D134/5</f>
        <v>0</v>
      </c>
      <c r="F134" s="61">
        <f>D134/5</f>
        <v>0</v>
      </c>
      <c r="G134" s="61">
        <f>F134</f>
        <v>0</v>
      </c>
      <c r="H134" s="61">
        <f>G134</f>
        <v>0</v>
      </c>
      <c r="I134" s="113"/>
      <c r="J134" s="114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spans="2:32" x14ac:dyDescent="0.2">
      <c r="B135" s="112"/>
      <c r="C135" s="3">
        <f>C134+1</f>
        <v>2025</v>
      </c>
      <c r="D135" s="57">
        <v>0</v>
      </c>
      <c r="E135" s="61">
        <f>D135/5</f>
        <v>0</v>
      </c>
      <c r="F135" s="61">
        <f>D135/5</f>
        <v>0</v>
      </c>
      <c r="G135" s="61">
        <f>D135/5</f>
        <v>0</v>
      </c>
      <c r="H135" s="52">
        <f>G135</f>
        <v>0</v>
      </c>
      <c r="I135" s="61">
        <f>H135</f>
        <v>0</v>
      </c>
      <c r="J135" s="114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spans="2:32" x14ac:dyDescent="0.2">
      <c r="B136" s="100"/>
      <c r="C136" s="46"/>
      <c r="D136" s="32"/>
      <c r="E136" s="32"/>
      <c r="F136" s="32"/>
      <c r="G136" s="32"/>
      <c r="H136" s="52"/>
      <c r="I136" s="61"/>
      <c r="J136" s="114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spans="2:32" ht="13.5" thickBot="1" x14ac:dyDescent="0.25">
      <c r="B137" s="109"/>
      <c r="C137" s="110"/>
      <c r="D137" s="116"/>
      <c r="E137" s="117">
        <f>SUM(E131:E135)</f>
        <v>0</v>
      </c>
      <c r="F137" s="116"/>
      <c r="G137" s="103"/>
      <c r="H137" s="118"/>
      <c r="I137" s="119"/>
      <c r="J137" s="120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spans="2:32" ht="22.5" customHeight="1" thickBot="1" x14ac:dyDescent="0.25">
      <c r="B138" s="29"/>
      <c r="C138" s="28"/>
      <c r="D138" s="121"/>
      <c r="E138" s="51"/>
      <c r="F138" s="121"/>
      <c r="G138" s="8"/>
      <c r="H138" s="122"/>
      <c r="I138" s="123"/>
      <c r="J138" s="124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spans="2:32" ht="15" customHeight="1" x14ac:dyDescent="0.3">
      <c r="B139" s="239" t="s">
        <v>152</v>
      </c>
      <c r="C139" s="125"/>
      <c r="D139" s="126"/>
      <c r="E139" s="127">
        <v>2025</v>
      </c>
      <c r="F139" s="127">
        <f>E139+1</f>
        <v>2026</v>
      </c>
      <c r="G139" s="127">
        <f>F139+1</f>
        <v>2027</v>
      </c>
      <c r="H139" s="127">
        <f>G139+1</f>
        <v>2028</v>
      </c>
      <c r="I139" s="127">
        <f>H139+1</f>
        <v>2029</v>
      </c>
      <c r="J139" s="128">
        <f>I139+1</f>
        <v>2030</v>
      </c>
    </row>
    <row r="140" spans="2:32" x14ac:dyDescent="0.2">
      <c r="B140" s="100"/>
      <c r="C140" s="3">
        <v>2020</v>
      </c>
      <c r="D140" s="47">
        <v>0</v>
      </c>
      <c r="E140" s="32">
        <f>D140/5</f>
        <v>0</v>
      </c>
      <c r="F140" s="113"/>
      <c r="G140" s="113"/>
      <c r="H140" s="113"/>
      <c r="I140" s="113"/>
      <c r="J140" s="129"/>
    </row>
    <row r="141" spans="2:32" x14ac:dyDescent="0.2">
      <c r="B141" s="108"/>
      <c r="C141" s="3">
        <f>C140+1</f>
        <v>2021</v>
      </c>
      <c r="D141" s="47">
        <v>0</v>
      </c>
      <c r="E141" s="32">
        <f>D141/5</f>
        <v>0</v>
      </c>
      <c r="F141" s="32">
        <f>E141</f>
        <v>0</v>
      </c>
      <c r="G141" s="113"/>
      <c r="H141" s="113"/>
      <c r="I141" s="113"/>
      <c r="J141" s="129"/>
    </row>
    <row r="142" spans="2:32" x14ac:dyDescent="0.2">
      <c r="B142" s="108"/>
      <c r="C142" s="3">
        <f>C141+1</f>
        <v>2022</v>
      </c>
      <c r="D142" s="47">
        <v>0</v>
      </c>
      <c r="E142" s="32">
        <f>D142/5</f>
        <v>0</v>
      </c>
      <c r="F142" s="32">
        <f>E142</f>
        <v>0</v>
      </c>
      <c r="G142" s="32">
        <f>F142</f>
        <v>0</v>
      </c>
      <c r="H142" s="113"/>
      <c r="I142" s="113"/>
      <c r="J142" s="129"/>
    </row>
    <row r="143" spans="2:32" x14ac:dyDescent="0.2">
      <c r="B143" s="108"/>
      <c r="C143" s="3">
        <f>C142+1</f>
        <v>2023</v>
      </c>
      <c r="D143" s="47">
        <v>0</v>
      </c>
      <c r="E143" s="32">
        <f>D143/5</f>
        <v>0</v>
      </c>
      <c r="F143" s="32">
        <f>E143</f>
        <v>0</v>
      </c>
      <c r="G143" s="32">
        <f>F143</f>
        <v>0</v>
      </c>
      <c r="H143" s="32">
        <f>G143</f>
        <v>0</v>
      </c>
      <c r="I143" s="113"/>
      <c r="J143" s="129"/>
    </row>
    <row r="144" spans="2:32" x14ac:dyDescent="0.2">
      <c r="B144" s="108"/>
      <c r="C144" s="3">
        <f>C143+1</f>
        <v>2024</v>
      </c>
      <c r="D144" s="47">
        <v>0</v>
      </c>
      <c r="E144" s="32">
        <f>D144/5</f>
        <v>0</v>
      </c>
      <c r="F144" s="32">
        <f>D144/5</f>
        <v>0</v>
      </c>
      <c r="G144" s="32">
        <f>+F144</f>
        <v>0</v>
      </c>
      <c r="H144" s="32">
        <f>G144</f>
        <v>0</v>
      </c>
      <c r="I144" s="32">
        <f>H144</f>
        <v>0</v>
      </c>
      <c r="J144" s="129"/>
    </row>
    <row r="145" spans="2:14" x14ac:dyDescent="0.2">
      <c r="B145" s="108"/>
      <c r="C145" s="3">
        <f>C144+1</f>
        <v>2025</v>
      </c>
      <c r="D145" s="47">
        <v>0</v>
      </c>
      <c r="E145" s="32"/>
      <c r="F145" s="32">
        <f>D145/5</f>
        <v>0</v>
      </c>
      <c r="G145" s="32">
        <f>D145/5</f>
        <v>0</v>
      </c>
      <c r="H145" s="32">
        <f>G145</f>
        <v>0</v>
      </c>
      <c r="I145" s="32">
        <f>H145</f>
        <v>0</v>
      </c>
      <c r="J145" s="130">
        <f>I145</f>
        <v>0</v>
      </c>
    </row>
    <row r="146" spans="2:14" ht="15.75" thickBot="1" x14ac:dyDescent="0.3">
      <c r="B146" s="131"/>
      <c r="C146" s="110"/>
      <c r="D146" s="132"/>
      <c r="E146" s="133">
        <f>SUM(E140:E144)</f>
        <v>0</v>
      </c>
      <c r="F146" s="134">
        <f>SUM(F140:F145)</f>
        <v>0</v>
      </c>
      <c r="G146" s="134">
        <f>SUM(G140:G145)</f>
        <v>0</v>
      </c>
      <c r="H146" s="134">
        <f>SUM(H140:H145)</f>
        <v>0</v>
      </c>
      <c r="I146" s="134">
        <f>SUM(I140:I145)</f>
        <v>0</v>
      </c>
      <c r="J146" s="135">
        <f>SUM(J140:J145)</f>
        <v>0</v>
      </c>
    </row>
    <row r="147" spans="2:14" ht="15" x14ac:dyDescent="0.25">
      <c r="C147" s="28"/>
      <c r="D147" s="32"/>
      <c r="E147" s="136"/>
      <c r="F147" s="137"/>
      <c r="G147" s="137"/>
      <c r="H147" s="137"/>
      <c r="I147" s="137"/>
      <c r="J147" s="93"/>
    </row>
    <row r="148" spans="2:14" ht="15.75" thickBot="1" x14ac:dyDescent="0.3">
      <c r="C148" s="28"/>
      <c r="D148" s="32"/>
      <c r="E148" s="137"/>
      <c r="F148" s="137"/>
      <c r="G148" s="137"/>
      <c r="H148" s="137"/>
      <c r="I148" s="137"/>
      <c r="J148" s="93"/>
    </row>
    <row r="149" spans="2:14" ht="18.75" x14ac:dyDescent="0.3">
      <c r="B149" s="239" t="s">
        <v>150</v>
      </c>
      <c r="C149" s="138"/>
      <c r="D149" s="139"/>
      <c r="E149" s="140"/>
      <c r="F149" s="140"/>
      <c r="G149" s="140"/>
      <c r="H149" s="140"/>
      <c r="I149" s="140"/>
      <c r="J149" s="141"/>
      <c r="K149" s="471" t="s">
        <v>264</v>
      </c>
      <c r="L149" s="472"/>
      <c r="M149" s="472"/>
      <c r="N149" s="473"/>
    </row>
    <row r="150" spans="2:14" ht="15" x14ac:dyDescent="0.25">
      <c r="B150" s="142" t="s">
        <v>57</v>
      </c>
      <c r="C150" s="1" t="s">
        <v>54</v>
      </c>
      <c r="D150" s="145" t="s">
        <v>55</v>
      </c>
      <c r="E150" s="143">
        <v>0</v>
      </c>
      <c r="F150" s="104"/>
      <c r="G150" s="289" t="s">
        <v>275</v>
      </c>
      <c r="H150" s="93" t="s">
        <v>276</v>
      </c>
      <c r="I150" s="137"/>
      <c r="J150" s="146">
        <v>0</v>
      </c>
      <c r="K150" s="266" t="s">
        <v>209</v>
      </c>
      <c r="L150" s="43" t="s">
        <v>265</v>
      </c>
      <c r="N150" s="107"/>
    </row>
    <row r="151" spans="2:14" ht="15" x14ac:dyDescent="0.25">
      <c r="B151" s="142" t="s">
        <v>57</v>
      </c>
      <c r="C151" s="1" t="s">
        <v>277</v>
      </c>
      <c r="D151" s="145" t="s">
        <v>79</v>
      </c>
      <c r="E151" s="147">
        <f>IF((E150+J151)&lt;J150,(E150+J151),J150)</f>
        <v>0</v>
      </c>
      <c r="F151" s="104"/>
      <c r="G151" s="289" t="s">
        <v>267</v>
      </c>
      <c r="H151" s="275" t="s">
        <v>408</v>
      </c>
      <c r="I151" s="148"/>
      <c r="J151" s="149">
        <v>0</v>
      </c>
      <c r="K151" s="266" t="s">
        <v>208</v>
      </c>
      <c r="L151" s="43" t="s">
        <v>266</v>
      </c>
      <c r="N151" s="107"/>
    </row>
    <row r="152" spans="2:14" ht="15.75" thickBot="1" x14ac:dyDescent="0.3">
      <c r="B152" s="142" t="s">
        <v>58</v>
      </c>
      <c r="C152" s="1" t="s">
        <v>280</v>
      </c>
      <c r="D152" s="145" t="s">
        <v>409</v>
      </c>
      <c r="E152" s="150">
        <v>0</v>
      </c>
      <c r="F152" s="104"/>
      <c r="G152" s="289" t="s">
        <v>278</v>
      </c>
      <c r="H152" s="145" t="s">
        <v>254</v>
      </c>
      <c r="I152" s="137"/>
      <c r="J152" s="151">
        <f>IF(E150+J151-J150&gt;0,E150+J151-J150,0)</f>
        <v>0</v>
      </c>
      <c r="K152" s="267" t="s">
        <v>212</v>
      </c>
      <c r="L152" s="248" t="s">
        <v>210</v>
      </c>
      <c r="N152" s="107"/>
    </row>
    <row r="153" spans="2:14" ht="18.75" thickBot="1" x14ac:dyDescent="0.45">
      <c r="B153" s="142" t="s">
        <v>58</v>
      </c>
      <c r="C153" s="1" t="s">
        <v>279</v>
      </c>
      <c r="D153" s="228" t="s">
        <v>211</v>
      </c>
      <c r="E153" s="342">
        <v>0</v>
      </c>
      <c r="H153" s="3" t="s">
        <v>11</v>
      </c>
      <c r="I153" s="351" t="s">
        <v>11</v>
      </c>
      <c r="J153" s="107"/>
      <c r="K153" s="269" t="s">
        <v>213</v>
      </c>
      <c r="N153" s="107"/>
    </row>
    <row r="154" spans="2:14" ht="15" x14ac:dyDescent="0.25">
      <c r="B154" s="142" t="s">
        <v>58</v>
      </c>
      <c r="C154" s="1" t="s">
        <v>281</v>
      </c>
      <c r="D154" s="136" t="s">
        <v>282</v>
      </c>
      <c r="E154" s="152">
        <f>IF((E152+(E153*0.3))&lt;J152,(E152+(E153*0.3)),J152)</f>
        <v>0</v>
      </c>
      <c r="F154" s="137"/>
      <c r="G154" s="137"/>
      <c r="H154" s="32" t="s">
        <v>11</v>
      </c>
      <c r="I154" s="352" t="s">
        <v>11</v>
      </c>
      <c r="J154" s="153"/>
      <c r="K154" s="265" t="s">
        <v>214</v>
      </c>
      <c r="N154" s="107"/>
    </row>
    <row r="155" spans="2:14" ht="15" x14ac:dyDescent="0.25">
      <c r="B155" s="142"/>
      <c r="C155" s="1"/>
      <c r="D155" s="154"/>
      <c r="E155" s="155"/>
      <c r="F155" s="104" t="s">
        <v>162</v>
      </c>
      <c r="G155" s="1" t="s">
        <v>163</v>
      </c>
      <c r="H155" s="143">
        <v>0</v>
      </c>
      <c r="I155" s="144" t="s">
        <v>164</v>
      </c>
      <c r="J155" s="156"/>
      <c r="K155" s="268" t="s">
        <v>215</v>
      </c>
      <c r="N155" s="107"/>
    </row>
    <row r="156" spans="2:14" ht="16.5" x14ac:dyDescent="0.35">
      <c r="B156" s="142"/>
      <c r="C156" s="1"/>
      <c r="D156" s="137" t="s">
        <v>69</v>
      </c>
      <c r="E156" s="157">
        <f>E151+E154</f>
        <v>0</v>
      </c>
      <c r="F156" s="104" t="s">
        <v>162</v>
      </c>
      <c r="G156" s="1" t="s">
        <v>166</v>
      </c>
      <c r="H156" s="143">
        <v>0</v>
      </c>
      <c r="I156" s="144" t="s">
        <v>239</v>
      </c>
      <c r="J156" s="156"/>
      <c r="K156" s="108" t="s">
        <v>268</v>
      </c>
      <c r="N156" s="107"/>
    </row>
    <row r="157" spans="2:14" ht="15" x14ac:dyDescent="0.25">
      <c r="B157" s="142" t="s">
        <v>59</v>
      </c>
      <c r="C157" s="28" t="s">
        <v>283</v>
      </c>
      <c r="D157" s="145" t="s">
        <v>284</v>
      </c>
      <c r="E157" s="157">
        <f>IF((E152+(E153*0.3)-J152)&gt;0,(E152+(E153*0.3)-J152),0)</f>
        <v>0</v>
      </c>
      <c r="F157" s="104" t="s">
        <v>165</v>
      </c>
      <c r="G157" s="1" t="s">
        <v>410</v>
      </c>
      <c r="H157" s="143">
        <v>0</v>
      </c>
      <c r="I157" s="144" t="s">
        <v>167</v>
      </c>
      <c r="J157" s="156"/>
      <c r="K157" s="108" t="s">
        <v>269</v>
      </c>
      <c r="N157" s="107"/>
    </row>
    <row r="158" spans="2:14" ht="15" x14ac:dyDescent="0.25">
      <c r="B158" s="142" t="s">
        <v>60</v>
      </c>
      <c r="C158" s="28" t="s">
        <v>56</v>
      </c>
      <c r="D158" s="137" t="s">
        <v>80</v>
      </c>
      <c r="E158" s="157">
        <f>IF((J152-E154)&gt;0,(J152-E154),0)</f>
        <v>0</v>
      </c>
      <c r="F158" s="104" t="s">
        <v>165</v>
      </c>
      <c r="G158" s="1" t="s">
        <v>166</v>
      </c>
      <c r="H158" s="143">
        <v>0</v>
      </c>
      <c r="I158" s="144" t="s">
        <v>240</v>
      </c>
      <c r="J158" s="156"/>
      <c r="K158" s="270"/>
      <c r="N158" s="107"/>
    </row>
    <row r="159" spans="2:14" ht="15.75" thickBot="1" x14ac:dyDescent="0.3">
      <c r="B159" s="131"/>
      <c r="C159" s="110"/>
      <c r="D159" s="132"/>
      <c r="E159" s="134"/>
      <c r="F159" s="134"/>
      <c r="G159" s="158"/>
      <c r="H159" s="158"/>
      <c r="I159" s="158"/>
      <c r="J159" s="159"/>
      <c r="K159" s="131"/>
      <c r="L159" s="200"/>
      <c r="M159" s="200"/>
      <c r="N159" s="263"/>
    </row>
    <row r="160" spans="2:14" ht="13.5" thickBot="1" x14ac:dyDescent="0.25">
      <c r="C160" s="28"/>
      <c r="E160" s="160"/>
    </row>
    <row r="161" spans="2:14" ht="23.25" x14ac:dyDescent="0.35">
      <c r="B161" s="161"/>
      <c r="C161" s="162"/>
      <c r="D161" s="240" t="s">
        <v>197</v>
      </c>
      <c r="E161" s="163"/>
      <c r="F161" s="163"/>
      <c r="G161" s="450" t="s">
        <v>111</v>
      </c>
      <c r="H161" s="451"/>
      <c r="I161" s="451"/>
      <c r="J161" s="452"/>
    </row>
    <row r="162" spans="2:14" ht="13.5" thickBot="1" x14ac:dyDescent="0.25">
      <c r="B162" s="108"/>
      <c r="C162" s="28"/>
      <c r="G162" s="453"/>
      <c r="H162" s="454"/>
      <c r="I162" s="454"/>
      <c r="J162" s="455"/>
    </row>
    <row r="163" spans="2:14" ht="15.75" thickBot="1" x14ac:dyDescent="0.3">
      <c r="B163" s="262" t="s">
        <v>207</v>
      </c>
      <c r="C163" s="247"/>
      <c r="D163" s="247"/>
      <c r="E163" s="247"/>
      <c r="F163" s="252">
        <v>0</v>
      </c>
      <c r="G163" s="333" t="s">
        <v>146</v>
      </c>
      <c r="H163" s="334"/>
      <c r="I163" s="334"/>
      <c r="J163" s="335"/>
    </row>
    <row r="164" spans="2:14" ht="12.75" customHeight="1" x14ac:dyDescent="0.2">
      <c r="B164" s="108"/>
      <c r="C164" s="28"/>
      <c r="F164" s="164"/>
      <c r="G164" s="165" t="s">
        <v>415</v>
      </c>
      <c r="H164" s="165"/>
      <c r="I164" s="165"/>
      <c r="J164" s="166">
        <v>0</v>
      </c>
    </row>
    <row r="165" spans="2:14" ht="15" x14ac:dyDescent="0.25">
      <c r="B165" s="108"/>
      <c r="C165" s="28"/>
      <c r="D165" s="241" t="s">
        <v>16</v>
      </c>
      <c r="F165" s="130"/>
      <c r="G165" s="3" t="s">
        <v>416</v>
      </c>
      <c r="J165" s="166">
        <v>0</v>
      </c>
    </row>
    <row r="166" spans="2:14" ht="15" x14ac:dyDescent="0.25">
      <c r="B166" s="108"/>
      <c r="C166" s="1" t="s">
        <v>61</v>
      </c>
      <c r="D166" s="243" t="s">
        <v>19</v>
      </c>
      <c r="E166" s="247"/>
      <c r="F166" s="253">
        <v>0</v>
      </c>
      <c r="G166" s="3" t="s">
        <v>417</v>
      </c>
      <c r="J166" s="166">
        <v>0</v>
      </c>
    </row>
    <row r="167" spans="2:14" ht="15.75" thickBot="1" x14ac:dyDescent="0.3">
      <c r="B167" s="108"/>
      <c r="C167" s="1" t="s">
        <v>61</v>
      </c>
      <c r="D167" s="243" t="s">
        <v>35</v>
      </c>
      <c r="E167" s="247"/>
      <c r="F167" s="253">
        <v>0</v>
      </c>
      <c r="G167" s="3" t="s">
        <v>358</v>
      </c>
      <c r="J167" s="166">
        <v>0</v>
      </c>
    </row>
    <row r="168" spans="2:14" ht="15" x14ac:dyDescent="0.25">
      <c r="B168" s="108"/>
      <c r="C168" s="1" t="s">
        <v>61</v>
      </c>
      <c r="D168" s="247" t="s">
        <v>24</v>
      </c>
      <c r="E168" s="247"/>
      <c r="F168" s="253">
        <v>0</v>
      </c>
      <c r="I168" s="258" t="e">
        <f>(J164+J165-J166)/J167</f>
        <v>#DIV/0!</v>
      </c>
      <c r="J168" s="169" t="e">
        <f>IF(I168&gt;1,1,(J164+J165-J166)/J167)</f>
        <v>#DIV/0!</v>
      </c>
      <c r="L168" s="167" t="s">
        <v>147</v>
      </c>
      <c r="M168" s="168"/>
      <c r="N168" s="264"/>
    </row>
    <row r="169" spans="2:14" ht="15" x14ac:dyDescent="0.25">
      <c r="B169" s="108"/>
      <c r="C169" s="1" t="s">
        <v>61</v>
      </c>
      <c r="D169" s="247" t="s">
        <v>422</v>
      </c>
      <c r="E169" s="247"/>
      <c r="F169" s="253">
        <v>0</v>
      </c>
      <c r="G169" s="29" t="s">
        <v>423</v>
      </c>
      <c r="J169" s="172">
        <v>0</v>
      </c>
      <c r="L169" s="170" t="s">
        <v>148</v>
      </c>
      <c r="M169" s="171"/>
      <c r="N169" s="264"/>
    </row>
    <row r="170" spans="2:14" ht="15.75" thickBot="1" x14ac:dyDescent="0.3">
      <c r="B170" s="108"/>
      <c r="C170" s="1" t="s">
        <v>61</v>
      </c>
      <c r="D170" s="247" t="s">
        <v>67</v>
      </c>
      <c r="E170" s="247"/>
      <c r="F170" s="253">
        <v>0</v>
      </c>
      <c r="G170" s="43" t="s">
        <v>372</v>
      </c>
      <c r="J170" s="175">
        <f>IF((J169&gt;0),J169*J168,0)</f>
        <v>0</v>
      </c>
      <c r="L170" s="173" t="s">
        <v>149</v>
      </c>
      <c r="M170" s="174"/>
      <c r="N170" s="264"/>
    </row>
    <row r="171" spans="2:14" ht="15" x14ac:dyDescent="0.25">
      <c r="B171" s="108"/>
      <c r="C171" s="250" t="s">
        <v>61</v>
      </c>
      <c r="D171" s="248" t="s">
        <v>136</v>
      </c>
      <c r="E171" s="247"/>
      <c r="F171" s="254">
        <f>SUM(F166:F170)</f>
        <v>0</v>
      </c>
      <c r="G171" s="176" t="s">
        <v>373</v>
      </c>
      <c r="H171" s="177"/>
      <c r="I171" s="177"/>
      <c r="J171" s="178">
        <f>IF((J169-J189)&gt;0,J169-J189,0)</f>
        <v>0</v>
      </c>
    </row>
    <row r="172" spans="2:14" ht="15" x14ac:dyDescent="0.25">
      <c r="B172" s="108"/>
      <c r="C172" s="251" t="s">
        <v>63</v>
      </c>
      <c r="D172" s="243" t="s">
        <v>137</v>
      </c>
      <c r="E172" s="247"/>
      <c r="F172" s="255">
        <v>0</v>
      </c>
    </row>
    <row r="173" spans="2:14" ht="15" x14ac:dyDescent="0.25">
      <c r="B173" s="108"/>
      <c r="C173" s="1" t="s">
        <v>64</v>
      </c>
      <c r="D173" s="243" t="s">
        <v>62</v>
      </c>
      <c r="E173" s="247"/>
      <c r="F173" s="253">
        <v>0</v>
      </c>
      <c r="G173" s="165" t="s">
        <v>418</v>
      </c>
      <c r="H173" s="165"/>
      <c r="I173" s="165"/>
      <c r="J173" s="166">
        <v>0</v>
      </c>
    </row>
    <row r="174" spans="2:14" ht="15" x14ac:dyDescent="0.25">
      <c r="B174" s="108"/>
      <c r="C174" s="1" t="s">
        <v>65</v>
      </c>
      <c r="D174" s="243" t="s">
        <v>108</v>
      </c>
      <c r="E174" s="247"/>
      <c r="F174" s="253">
        <v>0</v>
      </c>
      <c r="G174" s="3" t="s">
        <v>419</v>
      </c>
      <c r="J174" s="178">
        <f>F166+F167+F170</f>
        <v>0</v>
      </c>
    </row>
    <row r="175" spans="2:14" ht="15" x14ac:dyDescent="0.25">
      <c r="B175" s="108"/>
      <c r="C175" s="1" t="s">
        <v>66</v>
      </c>
      <c r="D175" s="247" t="s">
        <v>285</v>
      </c>
      <c r="E175" s="247"/>
      <c r="F175" s="253">
        <v>0</v>
      </c>
      <c r="G175" s="3" t="s">
        <v>420</v>
      </c>
      <c r="J175" s="178">
        <f>+F205</f>
        <v>8000</v>
      </c>
    </row>
    <row r="176" spans="2:14" ht="15" x14ac:dyDescent="0.25">
      <c r="B176" s="108"/>
      <c r="C176" s="1" t="s">
        <v>188</v>
      </c>
      <c r="D176" s="247" t="s">
        <v>227</v>
      </c>
      <c r="E176" s="247"/>
      <c r="F176" s="253">
        <v>0</v>
      </c>
      <c r="G176" s="3" t="s">
        <v>421</v>
      </c>
      <c r="J176" s="179">
        <f>F206</f>
        <v>0</v>
      </c>
    </row>
    <row r="177" spans="2:13" ht="15" x14ac:dyDescent="0.25">
      <c r="B177" s="108"/>
      <c r="C177" s="1" t="s">
        <v>138</v>
      </c>
      <c r="D177" s="247" t="s">
        <v>286</v>
      </c>
      <c r="E177" s="247"/>
      <c r="F177" s="253">
        <v>0</v>
      </c>
      <c r="I177" s="259" t="e">
        <f>(J173+J174-J175)/J176</f>
        <v>#DIV/0!</v>
      </c>
      <c r="J177" s="169" t="e">
        <f>IF(I177&gt;1,1,(J173+J174-J175)/J176)</f>
        <v>#DIV/0!</v>
      </c>
    </row>
    <row r="178" spans="2:13" ht="15" x14ac:dyDescent="0.25">
      <c r="B178" s="108"/>
      <c r="C178" s="1" t="s">
        <v>168</v>
      </c>
      <c r="D178" s="247" t="s">
        <v>200</v>
      </c>
      <c r="E178" s="247"/>
      <c r="F178" s="253">
        <v>0</v>
      </c>
      <c r="G178" s="29" t="s">
        <v>424</v>
      </c>
      <c r="J178" s="172">
        <v>0</v>
      </c>
    </row>
    <row r="179" spans="2:13" ht="15" x14ac:dyDescent="0.25">
      <c r="B179" s="108"/>
      <c r="C179" s="1" t="s">
        <v>256</v>
      </c>
      <c r="D179" s="247" t="s">
        <v>255</v>
      </c>
      <c r="E179" s="247"/>
      <c r="F179" s="253">
        <v>0</v>
      </c>
      <c r="G179" s="3" t="s">
        <v>425</v>
      </c>
      <c r="J179" s="179">
        <f>F208</f>
        <v>0</v>
      </c>
    </row>
    <row r="180" spans="2:13" ht="15" x14ac:dyDescent="0.25">
      <c r="B180" s="108"/>
      <c r="C180" s="1" t="s">
        <v>169</v>
      </c>
      <c r="D180" s="247" t="s">
        <v>201</v>
      </c>
      <c r="E180" s="247"/>
      <c r="F180" s="253">
        <v>0</v>
      </c>
      <c r="J180" s="180">
        <f>MIN(J178,J179)</f>
        <v>0</v>
      </c>
    </row>
    <row r="181" spans="2:13" ht="15" x14ac:dyDescent="0.25">
      <c r="B181" s="108"/>
      <c r="C181" s="1" t="s">
        <v>170</v>
      </c>
      <c r="D181" s="243" t="s">
        <v>189</v>
      </c>
      <c r="E181" s="247"/>
      <c r="F181" s="350">
        <f>F32</f>
        <v>0</v>
      </c>
      <c r="G181" s="43" t="s">
        <v>426</v>
      </c>
      <c r="J181" s="178">
        <f>IF(J180&gt;0,J180*J177,0)</f>
        <v>0</v>
      </c>
    </row>
    <row r="182" spans="2:13" ht="15" x14ac:dyDescent="0.25">
      <c r="B182" s="108"/>
      <c r="C182" s="1" t="s">
        <v>257</v>
      </c>
      <c r="D182" s="247" t="s">
        <v>190</v>
      </c>
      <c r="E182" s="247"/>
      <c r="F182" s="253">
        <v>0</v>
      </c>
      <c r="G182" s="176" t="s">
        <v>427</v>
      </c>
      <c r="H182" s="177"/>
      <c r="I182" s="177"/>
      <c r="J182" s="178">
        <f>J180-J190</f>
        <v>0</v>
      </c>
    </row>
    <row r="183" spans="2:13" ht="15" x14ac:dyDescent="0.25">
      <c r="B183" s="108"/>
      <c r="C183" s="1" t="s">
        <v>171</v>
      </c>
      <c r="D183" s="247" t="s">
        <v>139</v>
      </c>
      <c r="E183" s="247"/>
      <c r="F183" s="350">
        <f>F26+F30+F50+F52</f>
        <v>0</v>
      </c>
      <c r="J183" s="182">
        <f>IF((MIN(J170,J171)&gt;0),MIN(J170,J171),0)</f>
        <v>0</v>
      </c>
    </row>
    <row r="184" spans="2:13" ht="16.5" thickBot="1" x14ac:dyDescent="0.3">
      <c r="B184" s="108"/>
      <c r="C184" s="181" t="s">
        <v>290</v>
      </c>
      <c r="D184" s="243" t="s">
        <v>20</v>
      </c>
      <c r="F184" s="256">
        <f>SUM(F171:F183)</f>
        <v>0</v>
      </c>
      <c r="G184" s="246" t="s">
        <v>110</v>
      </c>
      <c r="H184" s="183"/>
      <c r="I184" s="183"/>
      <c r="J184" s="182">
        <f>IF((MIN(J181,J182)&gt;0),MIN(J181,J182),0)</f>
        <v>0</v>
      </c>
    </row>
    <row r="185" spans="2:13" ht="13.5" thickBot="1" x14ac:dyDescent="0.25">
      <c r="B185" s="108"/>
      <c r="C185" s="181"/>
      <c r="D185" s="29"/>
      <c r="F185" s="153"/>
      <c r="G185" s="184" t="s">
        <v>134</v>
      </c>
      <c r="H185" s="183"/>
      <c r="I185" s="183"/>
      <c r="J185" s="336">
        <f>J183+J184</f>
        <v>0</v>
      </c>
    </row>
    <row r="186" spans="2:13" ht="15" x14ac:dyDescent="0.25">
      <c r="B186" s="108"/>
      <c r="C186" s="28"/>
      <c r="D186" s="242" t="s">
        <v>17</v>
      </c>
      <c r="F186" s="130"/>
    </row>
    <row r="187" spans="2:13" ht="15.75" x14ac:dyDescent="0.25">
      <c r="B187" s="108"/>
      <c r="C187" s="1" t="s">
        <v>68</v>
      </c>
      <c r="D187" s="247" t="s">
        <v>109</v>
      </c>
      <c r="E187" s="247"/>
      <c r="F187" s="253">
        <v>0</v>
      </c>
      <c r="G187" s="433" t="s">
        <v>145</v>
      </c>
      <c r="H187" s="434"/>
      <c r="I187" s="434"/>
      <c r="J187" s="435"/>
    </row>
    <row r="188" spans="2:13" ht="15.75" x14ac:dyDescent="0.25">
      <c r="B188" s="108"/>
      <c r="C188" s="1" t="s">
        <v>140</v>
      </c>
      <c r="D188" s="247" t="s">
        <v>228</v>
      </c>
      <c r="E188" s="247"/>
      <c r="F188" s="145">
        <v>0</v>
      </c>
      <c r="G188" s="436" t="s">
        <v>428</v>
      </c>
      <c r="H188" s="437"/>
      <c r="I188" s="437"/>
      <c r="J188" s="438"/>
      <c r="K188" s="420" t="s">
        <v>261</v>
      </c>
      <c r="L188" s="29"/>
      <c r="M188" s="29"/>
    </row>
    <row r="189" spans="2:13" ht="15" x14ac:dyDescent="0.25">
      <c r="B189" s="108"/>
      <c r="C189" s="1" t="s">
        <v>141</v>
      </c>
      <c r="D189" s="247" t="s">
        <v>287</v>
      </c>
      <c r="E189" s="247"/>
      <c r="F189" s="253">
        <v>0</v>
      </c>
      <c r="G189" s="262" t="s">
        <v>429</v>
      </c>
      <c r="I189" s="186">
        <v>0</v>
      </c>
      <c r="J189" s="187">
        <f>I189*10%</f>
        <v>0</v>
      </c>
      <c r="K189" s="420" t="s">
        <v>432</v>
      </c>
      <c r="L189" s="29"/>
      <c r="M189" s="29"/>
    </row>
    <row r="190" spans="2:13" ht="15" x14ac:dyDescent="0.25">
      <c r="B190" s="108"/>
      <c r="C190" s="1" t="s">
        <v>172</v>
      </c>
      <c r="D190" s="247" t="s">
        <v>202</v>
      </c>
      <c r="E190" s="247"/>
      <c r="F190" s="253">
        <v>0</v>
      </c>
      <c r="G190" s="262" t="s">
        <v>430</v>
      </c>
      <c r="I190" s="186">
        <v>0</v>
      </c>
      <c r="J190" s="308">
        <f>IF(I190&lt;F208,I190*10%,F208*10%)</f>
        <v>0</v>
      </c>
      <c r="K190" s="420" t="s">
        <v>431</v>
      </c>
      <c r="L190" s="29"/>
      <c r="M190" s="29"/>
    </row>
    <row r="191" spans="2:13" ht="15.75" thickBot="1" x14ac:dyDescent="0.3">
      <c r="B191" s="108"/>
      <c r="C191" s="1" t="s">
        <v>193</v>
      </c>
      <c r="D191" s="247" t="s">
        <v>288</v>
      </c>
      <c r="E191" s="247"/>
      <c r="F191" s="253">
        <v>0</v>
      </c>
      <c r="K191" s="421" t="s">
        <v>199</v>
      </c>
      <c r="L191" s="29"/>
      <c r="M191" s="29"/>
    </row>
    <row r="192" spans="2:13" ht="15.75" x14ac:dyDescent="0.25">
      <c r="B192" s="108"/>
      <c r="C192" s="1" t="s">
        <v>192</v>
      </c>
      <c r="D192" s="247" t="s">
        <v>191</v>
      </c>
      <c r="E192" s="247"/>
      <c r="F192" s="253">
        <v>0</v>
      </c>
      <c r="G192" s="245" t="s">
        <v>206</v>
      </c>
      <c r="H192" s="188"/>
      <c r="I192" s="189"/>
      <c r="J192" s="446">
        <f>SUM(J189:J190)</f>
        <v>0</v>
      </c>
    </row>
    <row r="193" spans="2:13" ht="15.75" thickBot="1" x14ac:dyDescent="0.3">
      <c r="B193" s="108"/>
      <c r="C193" s="1" t="s">
        <v>289</v>
      </c>
      <c r="D193" s="3" t="s">
        <v>300</v>
      </c>
      <c r="E193" s="247"/>
      <c r="F193" s="253">
        <v>0</v>
      </c>
      <c r="G193" s="189" t="s">
        <v>205</v>
      </c>
      <c r="H193" s="260"/>
      <c r="I193" s="189"/>
      <c r="J193" s="447"/>
    </row>
    <row r="194" spans="2:13" ht="15" x14ac:dyDescent="0.25">
      <c r="B194" s="108"/>
      <c r="C194" s="1" t="s">
        <v>301</v>
      </c>
      <c r="D194" s="243" t="s">
        <v>112</v>
      </c>
      <c r="E194" s="247"/>
      <c r="F194" s="315">
        <v>0</v>
      </c>
    </row>
    <row r="195" spans="2:13" ht="18.75" x14ac:dyDescent="0.3">
      <c r="B195" s="108"/>
      <c r="C195" s="181" t="s">
        <v>291</v>
      </c>
      <c r="D195" s="243" t="s">
        <v>411</v>
      </c>
      <c r="E195" s="247"/>
      <c r="F195" s="256">
        <f>SUM(F187:F194)</f>
        <v>0</v>
      </c>
      <c r="K195" s="449"/>
      <c r="L195" s="449"/>
      <c r="M195" s="449"/>
    </row>
    <row r="196" spans="2:13" ht="15" x14ac:dyDescent="0.25">
      <c r="B196" s="108"/>
      <c r="C196" s="23" t="s">
        <v>142</v>
      </c>
      <c r="D196" s="243" t="s">
        <v>70</v>
      </c>
      <c r="E196" s="247"/>
      <c r="F196" s="256">
        <f>F163+F184-F195</f>
        <v>0</v>
      </c>
      <c r="G196" s="46"/>
      <c r="J196" s="191"/>
      <c r="K196" s="192"/>
    </row>
    <row r="197" spans="2:13" ht="12.75" customHeight="1" x14ac:dyDescent="0.25">
      <c r="B197" s="443" t="s">
        <v>101</v>
      </c>
      <c r="C197" s="316" t="s">
        <v>258</v>
      </c>
      <c r="D197" s="317" t="s">
        <v>319</v>
      </c>
      <c r="E197" s="323" t="s">
        <v>99</v>
      </c>
      <c r="F197" s="356">
        <v>0</v>
      </c>
      <c r="G197" s="46"/>
      <c r="J197" s="192"/>
    </row>
    <row r="198" spans="2:13" ht="13.5" customHeight="1" x14ac:dyDescent="0.25">
      <c r="B198" s="444"/>
      <c r="C198" s="318" t="s">
        <v>259</v>
      </c>
      <c r="D198" s="249" t="s">
        <v>143</v>
      </c>
      <c r="E198" s="324" t="s">
        <v>100</v>
      </c>
      <c r="F198" s="328">
        <v>0</v>
      </c>
      <c r="G198" s="29"/>
      <c r="H198" s="1"/>
      <c r="J198" s="193"/>
      <c r="K198" s="194"/>
      <c r="L198" s="195"/>
      <c r="M198" s="195"/>
    </row>
    <row r="199" spans="2:13" ht="15.75" x14ac:dyDescent="0.25">
      <c r="B199" s="444"/>
      <c r="C199" s="318" t="s">
        <v>292</v>
      </c>
      <c r="D199" s="319" t="s">
        <v>98</v>
      </c>
      <c r="E199" s="324" t="s">
        <v>155</v>
      </c>
      <c r="F199" s="328">
        <v>0</v>
      </c>
      <c r="H199" s="1"/>
      <c r="J199" s="192"/>
      <c r="K199" s="195"/>
      <c r="L199" s="195"/>
      <c r="M199" s="195"/>
    </row>
    <row r="200" spans="2:13" ht="15" x14ac:dyDescent="0.25">
      <c r="B200" s="444"/>
      <c r="C200" s="318" t="s">
        <v>293</v>
      </c>
      <c r="D200" s="320" t="s">
        <v>304</v>
      </c>
      <c r="E200" s="324" t="s">
        <v>173</v>
      </c>
      <c r="F200" s="328">
        <v>0</v>
      </c>
    </row>
    <row r="201" spans="2:13" ht="15" x14ac:dyDescent="0.25">
      <c r="B201" s="444"/>
      <c r="C201" s="321" t="s">
        <v>305</v>
      </c>
      <c r="D201" s="441" t="s">
        <v>307</v>
      </c>
      <c r="E201" s="442"/>
      <c r="F201" s="329">
        <f>F197+F198+F199+F200</f>
        <v>0</v>
      </c>
    </row>
    <row r="202" spans="2:13" ht="15.75" thickBot="1" x14ac:dyDescent="0.3">
      <c r="B202" s="444"/>
      <c r="C202" s="321" t="s">
        <v>306</v>
      </c>
      <c r="D202" s="331"/>
      <c r="E202" s="332" t="s">
        <v>309</v>
      </c>
      <c r="F202" s="328">
        <v>0</v>
      </c>
    </row>
    <row r="203" spans="2:13" ht="15" x14ac:dyDescent="0.25">
      <c r="B203" s="444"/>
      <c r="C203" s="321" t="s">
        <v>308</v>
      </c>
      <c r="D203" s="320"/>
      <c r="E203" s="332" t="s">
        <v>310</v>
      </c>
      <c r="F203" s="329">
        <f>F201-F202</f>
        <v>0</v>
      </c>
      <c r="I203" s="428" t="s">
        <v>367</v>
      </c>
    </row>
    <row r="204" spans="2:13" ht="15" x14ac:dyDescent="0.25">
      <c r="B204" s="444"/>
      <c r="C204" s="318" t="s">
        <v>294</v>
      </c>
      <c r="D204" s="322" t="s">
        <v>203</v>
      </c>
      <c r="E204" s="324" t="s">
        <v>97</v>
      </c>
      <c r="F204" s="330">
        <f>IF((F196-F197-F198-F199-F200)&lt;=180759.91,8000,0)</f>
        <v>8000</v>
      </c>
      <c r="I204" s="397">
        <v>3.9E-2</v>
      </c>
    </row>
    <row r="205" spans="2:13" ht="15" x14ac:dyDescent="0.25">
      <c r="B205" s="445"/>
      <c r="C205" s="325"/>
      <c r="D205" s="326"/>
      <c r="E205" s="327" t="s">
        <v>144</v>
      </c>
      <c r="F205" s="257">
        <f>F203+F204</f>
        <v>8000</v>
      </c>
      <c r="I205" s="397">
        <v>4.1300000000000003E-2</v>
      </c>
    </row>
    <row r="206" spans="2:13" ht="15.75" x14ac:dyDescent="0.25">
      <c r="B206" s="108"/>
      <c r="C206" s="1" t="s">
        <v>158</v>
      </c>
      <c r="D206" s="244" t="s">
        <v>414</v>
      </c>
      <c r="E206" s="196"/>
      <c r="F206" s="394">
        <f>IF(F3="NO",IF((F196-F205)&gt;0,(F196-F205),0),J216)</f>
        <v>0</v>
      </c>
      <c r="I206" s="397">
        <v>4.4299999999999999E-2</v>
      </c>
    </row>
    <row r="207" spans="2:13" ht="15.75" x14ac:dyDescent="0.25">
      <c r="B207" s="108"/>
      <c r="C207" s="1" t="s">
        <v>413</v>
      </c>
      <c r="D207" s="244"/>
      <c r="E207" s="393" t="s">
        <v>362</v>
      </c>
      <c r="F207" s="407">
        <v>4.7300000000000002E-2</v>
      </c>
      <c r="I207" s="399">
        <v>4.7300000000000002E-2</v>
      </c>
    </row>
    <row r="208" spans="2:13" ht="21.75" thickBot="1" x14ac:dyDescent="0.4">
      <c r="B208" s="108"/>
      <c r="C208" s="1" t="s">
        <v>157</v>
      </c>
      <c r="D208" s="197"/>
      <c r="E208" s="388" t="s">
        <v>23</v>
      </c>
      <c r="F208" s="395">
        <f>F206*F207</f>
        <v>0</v>
      </c>
      <c r="I208" s="397">
        <v>4.82E-2</v>
      </c>
    </row>
    <row r="209" spans="2:11" ht="15.75" customHeight="1" thickBot="1" x14ac:dyDescent="0.3">
      <c r="B209" s="108"/>
      <c r="C209" s="1" t="s">
        <v>156</v>
      </c>
      <c r="D209" s="249" t="s">
        <v>295</v>
      </c>
      <c r="F209" s="146">
        <v>0</v>
      </c>
      <c r="I209" s="398">
        <v>5.0299999999999997E-2</v>
      </c>
    </row>
    <row r="210" spans="2:11" ht="15" x14ac:dyDescent="0.25">
      <c r="B210" s="108"/>
      <c r="C210" s="1" t="s">
        <v>230</v>
      </c>
      <c r="D210" s="247" t="s">
        <v>302</v>
      </c>
      <c r="F210" s="146">
        <v>0</v>
      </c>
    </row>
    <row r="211" spans="2:11" ht="18.75" x14ac:dyDescent="0.3">
      <c r="B211" s="108"/>
      <c r="C211" s="1" t="s">
        <v>296</v>
      </c>
      <c r="D211" s="247" t="s">
        <v>303</v>
      </c>
      <c r="E211" s="154"/>
      <c r="F211" s="146">
        <v>0</v>
      </c>
      <c r="G211" s="448" t="s">
        <v>368</v>
      </c>
      <c r="H211" s="448"/>
      <c r="I211" s="448"/>
      <c r="J211" s="448"/>
    </row>
    <row r="212" spans="2:11" ht="15.75" x14ac:dyDescent="0.25">
      <c r="B212" s="108"/>
      <c r="C212" s="1" t="s">
        <v>198</v>
      </c>
      <c r="D212" s="238" t="s">
        <v>229</v>
      </c>
      <c r="F212" s="288">
        <f>F208-F209-F210-F211</f>
        <v>0</v>
      </c>
      <c r="G212" s="410" t="s">
        <v>353</v>
      </c>
      <c r="H212" s="408" t="s">
        <v>350</v>
      </c>
      <c r="I212" s="400"/>
      <c r="J212" s="57">
        <v>80000</v>
      </c>
    </row>
    <row r="213" spans="2:11" x14ac:dyDescent="0.2">
      <c r="B213" s="108"/>
      <c r="C213" s="28"/>
      <c r="F213" s="130"/>
      <c r="G213" s="401"/>
      <c r="H213" s="402" t="s">
        <v>364</v>
      </c>
      <c r="I213" s="400"/>
      <c r="J213" s="400"/>
    </row>
    <row r="214" spans="2:11" ht="15" x14ac:dyDescent="0.25">
      <c r="B214" s="108"/>
      <c r="D214" s="439" t="s">
        <v>260</v>
      </c>
      <c r="E214" s="427" t="s">
        <v>412</v>
      </c>
      <c r="F214" s="198" t="b">
        <f>IF(F4="SI",IF((F208&gt;0),IF((F208*100%*0.5)&lt;103,0,(F208*100%*0.5))),IF((F208&gt;0),IF((F208*100%*0.5)&lt;103,0,(F208*100%*0.4))))</f>
        <v>0</v>
      </c>
      <c r="G214" s="410" t="s">
        <v>354</v>
      </c>
      <c r="H214" s="409" t="s">
        <v>352</v>
      </c>
      <c r="I214" s="403"/>
      <c r="J214" s="57">
        <v>0</v>
      </c>
      <c r="K214" s="430" t="s">
        <v>369</v>
      </c>
    </row>
    <row r="215" spans="2:11" ht="15" x14ac:dyDescent="0.25">
      <c r="B215" s="108"/>
      <c r="D215" s="440"/>
      <c r="E215" s="427" t="s">
        <v>435</v>
      </c>
      <c r="F215" s="198" t="b">
        <f>IF(F4="SI",IF((F208&gt;0),IF((F208*100%*0.5)&lt;103,F208*100%,F208*100%*0.5)),IF((F208&gt;0),IF((F208*100%*0.5)&lt;103,F208*100%,F208*100%*0.6)))</f>
        <v>0</v>
      </c>
      <c r="G215" s="410" t="s">
        <v>355</v>
      </c>
      <c r="H215" s="409" t="s">
        <v>351</v>
      </c>
      <c r="I215" s="404"/>
      <c r="J215" s="57">
        <v>0</v>
      </c>
      <c r="K215" s="430"/>
    </row>
    <row r="216" spans="2:11" ht="16.5" thickBot="1" x14ac:dyDescent="0.3">
      <c r="B216" s="131"/>
      <c r="C216" s="110"/>
      <c r="D216" s="200"/>
      <c r="E216" s="200"/>
      <c r="F216" s="201"/>
      <c r="G216" s="410" t="s">
        <v>356</v>
      </c>
      <c r="H216" s="408" t="s">
        <v>357</v>
      </c>
      <c r="I216" s="400"/>
      <c r="J216" s="405">
        <f>IF((J212+J214-J215)&gt;2000,J212+J214-J215,2000)</f>
        <v>80000</v>
      </c>
      <c r="K216" s="46"/>
    </row>
    <row r="217" spans="2:11" ht="14.25" customHeight="1" x14ac:dyDescent="0.2">
      <c r="C217" s="28"/>
      <c r="F217" s="32"/>
      <c r="H217" s="202"/>
      <c r="J217" s="199"/>
    </row>
    <row r="218" spans="2:11" ht="14.25" customHeight="1" thickBot="1" x14ac:dyDescent="0.25">
      <c r="C218" s="28"/>
      <c r="F218" s="32"/>
    </row>
    <row r="219" spans="2:11" ht="19.5" thickBot="1" x14ac:dyDescent="0.35">
      <c r="B219" s="431" t="s">
        <v>194</v>
      </c>
      <c r="C219" s="431"/>
      <c r="D219" s="431"/>
      <c r="E219" s="432"/>
      <c r="F219" s="277">
        <f>I12-F101-E117-F208</f>
        <v>0</v>
      </c>
    </row>
    <row r="220" spans="2:11" ht="14.25" customHeight="1" x14ac:dyDescent="0.2">
      <c r="B220" s="29"/>
      <c r="C220" s="190"/>
      <c r="D220" s="29"/>
      <c r="E220" s="29"/>
      <c r="F220" s="93"/>
    </row>
    <row r="221" spans="2:11" s="29" customFormat="1" ht="14.25" customHeight="1" thickBot="1" x14ac:dyDescent="0.25">
      <c r="B221" s="3"/>
      <c r="C221" s="28"/>
      <c r="D221" s="3"/>
      <c r="E221" s="3"/>
      <c r="F221" s="32"/>
    </row>
    <row r="222" spans="2:11" ht="14.25" customHeight="1" x14ac:dyDescent="0.25">
      <c r="B222" s="232" t="s">
        <v>196</v>
      </c>
      <c r="C222" s="229"/>
      <c r="D222" s="230"/>
      <c r="E222" s="230"/>
      <c r="F222" s="231"/>
    </row>
    <row r="223" spans="2:11" x14ac:dyDescent="0.2">
      <c r="B223" s="108"/>
      <c r="C223" s="28"/>
      <c r="F223" s="130"/>
    </row>
    <row r="224" spans="2:11" ht="15.75" x14ac:dyDescent="0.25">
      <c r="B224" s="233" t="s">
        <v>36</v>
      </c>
      <c r="C224" s="234" t="s">
        <v>21</v>
      </c>
      <c r="D224" s="235" t="s">
        <v>37</v>
      </c>
      <c r="E224" s="236"/>
      <c r="F224" s="310">
        <f>F101</f>
        <v>0</v>
      </c>
    </row>
    <row r="225" spans="2:12" ht="15.75" x14ac:dyDescent="0.25">
      <c r="B225" s="233" t="s">
        <v>18</v>
      </c>
      <c r="C225" s="234" t="s">
        <v>21</v>
      </c>
      <c r="D225" s="235" t="s">
        <v>22</v>
      </c>
      <c r="E225" s="236"/>
      <c r="F225" s="310">
        <f>F208</f>
        <v>0</v>
      </c>
      <c r="H225" s="294"/>
      <c r="I225" s="293"/>
      <c r="J225" s="294"/>
      <c r="K225" s="46"/>
    </row>
    <row r="226" spans="2:12" ht="15.75" x14ac:dyDescent="0.25">
      <c r="B226" s="517" t="s">
        <v>441</v>
      </c>
      <c r="C226" s="234" t="s">
        <v>21</v>
      </c>
      <c r="D226" s="235" t="s">
        <v>442</v>
      </c>
      <c r="E226" s="236"/>
      <c r="F226" s="310">
        <f>E117</f>
        <v>0</v>
      </c>
      <c r="H226" s="294"/>
      <c r="I226" s="293"/>
      <c r="J226" s="294"/>
      <c r="K226" s="46"/>
    </row>
    <row r="227" spans="2:12" ht="13.5" thickBot="1" x14ac:dyDescent="0.25">
      <c r="B227" s="131"/>
      <c r="C227" s="110"/>
      <c r="D227" s="200"/>
      <c r="E227" s="200"/>
      <c r="F227" s="201"/>
      <c r="H227" s="298"/>
      <c r="I227" s="293"/>
      <c r="J227" s="46"/>
      <c r="K227" s="46"/>
    </row>
    <row r="228" spans="2:12" x14ac:dyDescent="0.2">
      <c r="C228" s="28"/>
      <c r="H228" s="294"/>
      <c r="I228" s="295"/>
      <c r="J228" s="296"/>
      <c r="K228" s="46"/>
    </row>
    <row r="229" spans="2:12" ht="15.75" x14ac:dyDescent="0.25">
      <c r="B229" s="307" t="s">
        <v>437</v>
      </c>
      <c r="C229" s="238"/>
      <c r="D229" s="238"/>
      <c r="E229" s="238"/>
      <c r="F229" s="309">
        <f>IF(F2="NO",F107+F108+F212+F214+E117,(F212+F214))</f>
        <v>0</v>
      </c>
      <c r="H229" s="294"/>
      <c r="I229" s="293"/>
      <c r="J229" s="297"/>
      <c r="K229" s="46"/>
    </row>
    <row r="230" spans="2:12" x14ac:dyDescent="0.2">
      <c r="C230" s="28"/>
      <c r="H230" s="294"/>
      <c r="I230" s="293"/>
      <c r="J230" s="297"/>
      <c r="K230" s="46"/>
      <c r="L230" s="185"/>
    </row>
    <row r="231" spans="2:12" ht="15.75" x14ac:dyDescent="0.25">
      <c r="B231" s="237" t="s">
        <v>438</v>
      </c>
      <c r="C231" s="238"/>
      <c r="D231" s="238"/>
      <c r="E231" s="238"/>
      <c r="F231" s="309">
        <f>IF(F2="NO",F109+F215,F215)</f>
        <v>0</v>
      </c>
      <c r="H231" s="294"/>
      <c r="I231" s="293"/>
      <c r="J231" s="297"/>
      <c r="K231" s="46"/>
    </row>
    <row r="232" spans="2:12" x14ac:dyDescent="0.2">
      <c r="C232" s="28"/>
      <c r="H232" s="299"/>
      <c r="I232" s="293"/>
      <c r="J232" s="294"/>
      <c r="K232" s="46"/>
    </row>
    <row r="233" spans="2:12" x14ac:dyDescent="0.2">
      <c r="C233" s="28"/>
      <c r="H233" s="46"/>
      <c r="I233" s="293"/>
      <c r="J233" s="294"/>
      <c r="K233" s="46"/>
    </row>
    <row r="234" spans="2:12" x14ac:dyDescent="0.2">
      <c r="C234" s="28"/>
      <c r="H234" s="299"/>
      <c r="I234" s="293"/>
      <c r="J234" s="294"/>
      <c r="K234" s="46"/>
    </row>
    <row r="235" spans="2:12" x14ac:dyDescent="0.2">
      <c r="B235" s="291"/>
      <c r="C235" s="292"/>
      <c r="D235" s="291"/>
      <c r="E235" s="291"/>
      <c r="F235" s="291"/>
      <c r="G235" s="290"/>
      <c r="H235" s="46"/>
      <c r="I235" s="293"/>
      <c r="J235" s="294"/>
      <c r="K235" s="46"/>
    </row>
    <row r="236" spans="2:12" x14ac:dyDescent="0.2">
      <c r="B236" s="291"/>
      <c r="C236" s="292"/>
      <c r="D236" s="291"/>
      <c r="E236" s="291"/>
      <c r="F236" s="291"/>
      <c r="G236" s="290"/>
      <c r="H236" s="181"/>
      <c r="I236" s="300"/>
      <c r="J236" s="301"/>
      <c r="K236" s="46"/>
    </row>
    <row r="237" spans="2:12" x14ac:dyDescent="0.2">
      <c r="B237" s="291"/>
      <c r="C237" s="292"/>
      <c r="D237" s="291"/>
      <c r="E237" s="291"/>
      <c r="F237" s="291"/>
    </row>
    <row r="238" spans="2:12" x14ac:dyDescent="0.2">
      <c r="C238" s="28"/>
    </row>
    <row r="239" spans="2:12" x14ac:dyDescent="0.2">
      <c r="C239" s="28"/>
    </row>
    <row r="240" spans="2:12" x14ac:dyDescent="0.2">
      <c r="C240" s="28"/>
    </row>
    <row r="241" spans="3:3" x14ac:dyDescent="0.2">
      <c r="C241" s="28"/>
    </row>
    <row r="242" spans="3:3" x14ac:dyDescent="0.2">
      <c r="C242" s="28"/>
    </row>
    <row r="243" spans="3:3" x14ac:dyDescent="0.2">
      <c r="C243" s="28"/>
    </row>
    <row r="244" spans="3:3" x14ac:dyDescent="0.2">
      <c r="C244" s="28"/>
    </row>
    <row r="245" spans="3:3" x14ac:dyDescent="0.2">
      <c r="C245" s="28"/>
    </row>
    <row r="246" spans="3:3" x14ac:dyDescent="0.2">
      <c r="C246" s="28"/>
    </row>
    <row r="247" spans="3:3" x14ac:dyDescent="0.2">
      <c r="C247" s="28"/>
    </row>
    <row r="248" spans="3:3" x14ac:dyDescent="0.2">
      <c r="C248" s="28"/>
    </row>
    <row r="249" spans="3:3" x14ac:dyDescent="0.2">
      <c r="C249" s="28"/>
    </row>
    <row r="250" spans="3:3" x14ac:dyDescent="0.2">
      <c r="C250" s="28"/>
    </row>
    <row r="251" spans="3:3" x14ac:dyDescent="0.2">
      <c r="C251" s="28"/>
    </row>
    <row r="252" spans="3:3" x14ac:dyDescent="0.2">
      <c r="C252" s="28"/>
    </row>
    <row r="253" spans="3:3" x14ac:dyDescent="0.2">
      <c r="C253" s="28"/>
    </row>
    <row r="254" spans="3:3" x14ac:dyDescent="0.2">
      <c r="C254" s="28"/>
    </row>
    <row r="255" spans="3:3" x14ac:dyDescent="0.2">
      <c r="C255" s="28"/>
    </row>
    <row r="256" spans="3:3" x14ac:dyDescent="0.2">
      <c r="C256" s="28"/>
    </row>
    <row r="257" spans="3:3" x14ac:dyDescent="0.2">
      <c r="C257" s="28"/>
    </row>
    <row r="258" spans="3:3" x14ac:dyDescent="0.2">
      <c r="C258" s="28"/>
    </row>
    <row r="259" spans="3:3" x14ac:dyDescent="0.2">
      <c r="C259" s="28"/>
    </row>
    <row r="260" spans="3:3" x14ac:dyDescent="0.2">
      <c r="C260" s="28"/>
    </row>
    <row r="261" spans="3:3" x14ac:dyDescent="0.2">
      <c r="C261" s="28"/>
    </row>
    <row r="262" spans="3:3" x14ac:dyDescent="0.2">
      <c r="C262" s="28"/>
    </row>
    <row r="263" spans="3:3" x14ac:dyDescent="0.2">
      <c r="C263" s="28"/>
    </row>
    <row r="264" spans="3:3" x14ac:dyDescent="0.2">
      <c r="C264" s="28"/>
    </row>
    <row r="265" spans="3:3" x14ac:dyDescent="0.2">
      <c r="C265" s="28"/>
    </row>
    <row r="266" spans="3:3" x14ac:dyDescent="0.2">
      <c r="C266" s="28"/>
    </row>
    <row r="267" spans="3:3" x14ac:dyDescent="0.2">
      <c r="C267" s="28"/>
    </row>
    <row r="268" spans="3:3" x14ac:dyDescent="0.2">
      <c r="C268" s="28"/>
    </row>
    <row r="269" spans="3:3" x14ac:dyDescent="0.2">
      <c r="C269" s="28"/>
    </row>
    <row r="270" spans="3:3" x14ac:dyDescent="0.2">
      <c r="C270" s="28"/>
    </row>
    <row r="271" spans="3:3" x14ac:dyDescent="0.2">
      <c r="C271" s="28"/>
    </row>
    <row r="272" spans="3:3" x14ac:dyDescent="0.2">
      <c r="C272" s="28"/>
    </row>
    <row r="273" spans="3:3" x14ac:dyDescent="0.2">
      <c r="C273" s="28"/>
    </row>
    <row r="274" spans="3:3" x14ac:dyDescent="0.2">
      <c r="C274" s="28"/>
    </row>
    <row r="275" spans="3:3" x14ac:dyDescent="0.2">
      <c r="C275" s="28"/>
    </row>
    <row r="276" spans="3:3" x14ac:dyDescent="0.2">
      <c r="C276" s="28"/>
    </row>
    <row r="277" spans="3:3" x14ac:dyDescent="0.2">
      <c r="C277" s="28"/>
    </row>
    <row r="278" spans="3:3" x14ac:dyDescent="0.2">
      <c r="C278" s="28"/>
    </row>
    <row r="279" spans="3:3" x14ac:dyDescent="0.2">
      <c r="C279" s="28"/>
    </row>
    <row r="280" spans="3:3" x14ac:dyDescent="0.2">
      <c r="C280" s="28"/>
    </row>
    <row r="281" spans="3:3" x14ac:dyDescent="0.2">
      <c r="C281" s="28"/>
    </row>
    <row r="282" spans="3:3" x14ac:dyDescent="0.2">
      <c r="C282" s="28"/>
    </row>
    <row r="283" spans="3:3" x14ac:dyDescent="0.2">
      <c r="C283" s="28"/>
    </row>
    <row r="284" spans="3:3" x14ac:dyDescent="0.2">
      <c r="C284" s="28"/>
    </row>
    <row r="285" spans="3:3" x14ac:dyDescent="0.2">
      <c r="C285" s="28"/>
    </row>
    <row r="286" spans="3:3" x14ac:dyDescent="0.2">
      <c r="C286" s="28"/>
    </row>
    <row r="287" spans="3:3" x14ac:dyDescent="0.2">
      <c r="C287" s="28"/>
    </row>
    <row r="288" spans="3:3" x14ac:dyDescent="0.2">
      <c r="C288" s="28"/>
    </row>
    <row r="289" spans="3:3" x14ac:dyDescent="0.2">
      <c r="C289" s="28"/>
    </row>
    <row r="290" spans="3:3" x14ac:dyDescent="0.2">
      <c r="C290" s="28"/>
    </row>
    <row r="291" spans="3:3" x14ac:dyDescent="0.2">
      <c r="C291" s="28"/>
    </row>
    <row r="292" spans="3:3" x14ac:dyDescent="0.2">
      <c r="C292" s="28"/>
    </row>
    <row r="293" spans="3:3" x14ac:dyDescent="0.2">
      <c r="C293" s="28"/>
    </row>
    <row r="294" spans="3:3" x14ac:dyDescent="0.2">
      <c r="C294" s="28"/>
    </row>
    <row r="295" spans="3:3" x14ac:dyDescent="0.2">
      <c r="C295" s="28"/>
    </row>
    <row r="296" spans="3:3" x14ac:dyDescent="0.2">
      <c r="C296" s="28"/>
    </row>
    <row r="297" spans="3:3" x14ac:dyDescent="0.2">
      <c r="C297" s="28"/>
    </row>
    <row r="298" spans="3:3" x14ac:dyDescent="0.2">
      <c r="C298" s="28"/>
    </row>
    <row r="299" spans="3:3" x14ac:dyDescent="0.2">
      <c r="C299" s="28"/>
    </row>
    <row r="300" spans="3:3" x14ac:dyDescent="0.2">
      <c r="C300" s="28"/>
    </row>
    <row r="301" spans="3:3" x14ac:dyDescent="0.2">
      <c r="C301" s="28"/>
    </row>
    <row r="302" spans="3:3" x14ac:dyDescent="0.2">
      <c r="C302" s="28"/>
    </row>
    <row r="303" spans="3:3" x14ac:dyDescent="0.2">
      <c r="C303" s="28"/>
    </row>
    <row r="304" spans="3:3" x14ac:dyDescent="0.2">
      <c r="C304" s="28"/>
    </row>
    <row r="305" spans="3:3" x14ac:dyDescent="0.2">
      <c r="C305" s="28"/>
    </row>
    <row r="306" spans="3:3" x14ac:dyDescent="0.2">
      <c r="C306" s="28"/>
    </row>
    <row r="307" spans="3:3" x14ac:dyDescent="0.2">
      <c r="C307" s="28"/>
    </row>
    <row r="308" spans="3:3" x14ac:dyDescent="0.2">
      <c r="C308" s="28"/>
    </row>
    <row r="309" spans="3:3" x14ac:dyDescent="0.2">
      <c r="C309" s="28"/>
    </row>
    <row r="310" spans="3:3" x14ac:dyDescent="0.2">
      <c r="C310" s="28"/>
    </row>
    <row r="311" spans="3:3" x14ac:dyDescent="0.2">
      <c r="C311" s="28"/>
    </row>
    <row r="312" spans="3:3" x14ac:dyDescent="0.2">
      <c r="C312" s="28"/>
    </row>
    <row r="313" spans="3:3" x14ac:dyDescent="0.2">
      <c r="C313" s="28"/>
    </row>
    <row r="314" spans="3:3" x14ac:dyDescent="0.2">
      <c r="C314" s="28"/>
    </row>
    <row r="315" spans="3:3" x14ac:dyDescent="0.2">
      <c r="C315" s="28"/>
    </row>
    <row r="316" spans="3:3" x14ac:dyDescent="0.2">
      <c r="C316" s="28"/>
    </row>
    <row r="317" spans="3:3" x14ac:dyDescent="0.2">
      <c r="C317" s="28"/>
    </row>
    <row r="318" spans="3:3" x14ac:dyDescent="0.2">
      <c r="C318" s="28"/>
    </row>
    <row r="319" spans="3:3" x14ac:dyDescent="0.2">
      <c r="C319" s="28"/>
    </row>
    <row r="320" spans="3:3" x14ac:dyDescent="0.2">
      <c r="C320" s="28"/>
    </row>
    <row r="321" spans="3:3" x14ac:dyDescent="0.2">
      <c r="C321" s="28"/>
    </row>
    <row r="322" spans="3:3" x14ac:dyDescent="0.2">
      <c r="C322" s="28"/>
    </row>
    <row r="323" spans="3:3" x14ac:dyDescent="0.2">
      <c r="C323" s="28"/>
    </row>
    <row r="324" spans="3:3" x14ac:dyDescent="0.2">
      <c r="C324" s="28"/>
    </row>
    <row r="325" spans="3:3" x14ac:dyDescent="0.2">
      <c r="C325" s="28"/>
    </row>
    <row r="326" spans="3:3" x14ac:dyDescent="0.2">
      <c r="C326" s="28"/>
    </row>
    <row r="327" spans="3:3" x14ac:dyDescent="0.2">
      <c r="C327" s="28"/>
    </row>
    <row r="328" spans="3:3" x14ac:dyDescent="0.2">
      <c r="C328" s="28"/>
    </row>
    <row r="329" spans="3:3" x14ac:dyDescent="0.2">
      <c r="C329" s="28"/>
    </row>
    <row r="330" spans="3:3" x14ac:dyDescent="0.2">
      <c r="C330" s="28"/>
    </row>
    <row r="331" spans="3:3" x14ac:dyDescent="0.2">
      <c r="C331" s="28"/>
    </row>
    <row r="332" spans="3:3" x14ac:dyDescent="0.2">
      <c r="C332" s="28"/>
    </row>
    <row r="333" spans="3:3" x14ac:dyDescent="0.2">
      <c r="C333" s="28"/>
    </row>
    <row r="334" spans="3:3" x14ac:dyDescent="0.2">
      <c r="C334" s="28"/>
    </row>
    <row r="335" spans="3:3" x14ac:dyDescent="0.2">
      <c r="C335" s="28"/>
    </row>
    <row r="336" spans="3:3" x14ac:dyDescent="0.2">
      <c r="C336" s="28"/>
    </row>
    <row r="337" spans="3:3" x14ac:dyDescent="0.2">
      <c r="C337" s="28"/>
    </row>
    <row r="338" spans="3:3" x14ac:dyDescent="0.2">
      <c r="C338" s="28"/>
    </row>
    <row r="339" spans="3:3" x14ac:dyDescent="0.2">
      <c r="C339" s="28"/>
    </row>
    <row r="340" spans="3:3" x14ac:dyDescent="0.2">
      <c r="C340" s="28"/>
    </row>
    <row r="341" spans="3:3" x14ac:dyDescent="0.2">
      <c r="C341" s="28"/>
    </row>
    <row r="342" spans="3:3" x14ac:dyDescent="0.2">
      <c r="C342" s="28"/>
    </row>
    <row r="343" spans="3:3" x14ac:dyDescent="0.2">
      <c r="C343" s="28"/>
    </row>
    <row r="344" spans="3:3" x14ac:dyDescent="0.2">
      <c r="C344" s="28"/>
    </row>
    <row r="345" spans="3:3" x14ac:dyDescent="0.2">
      <c r="C345" s="28"/>
    </row>
    <row r="346" spans="3:3" x14ac:dyDescent="0.2">
      <c r="C346" s="28"/>
    </row>
    <row r="347" spans="3:3" x14ac:dyDescent="0.2">
      <c r="C347" s="28"/>
    </row>
    <row r="348" spans="3:3" x14ac:dyDescent="0.2">
      <c r="C348" s="28"/>
    </row>
    <row r="349" spans="3:3" x14ac:dyDescent="0.2">
      <c r="C349" s="28"/>
    </row>
    <row r="350" spans="3:3" x14ac:dyDescent="0.2">
      <c r="C350" s="28"/>
    </row>
    <row r="351" spans="3:3" x14ac:dyDescent="0.2">
      <c r="C351" s="28"/>
    </row>
    <row r="352" spans="3:3" x14ac:dyDescent="0.2">
      <c r="C352" s="28"/>
    </row>
    <row r="353" spans="3:3" x14ac:dyDescent="0.2">
      <c r="C353" s="28"/>
    </row>
    <row r="354" spans="3:3" x14ac:dyDescent="0.2">
      <c r="C354" s="28"/>
    </row>
    <row r="355" spans="3:3" x14ac:dyDescent="0.2">
      <c r="C355" s="28"/>
    </row>
    <row r="356" spans="3:3" x14ac:dyDescent="0.2">
      <c r="C356" s="28"/>
    </row>
    <row r="357" spans="3:3" x14ac:dyDescent="0.2">
      <c r="C357" s="28"/>
    </row>
    <row r="358" spans="3:3" x14ac:dyDescent="0.2">
      <c r="C358" s="28"/>
    </row>
    <row r="359" spans="3:3" x14ac:dyDescent="0.2">
      <c r="C359" s="28"/>
    </row>
    <row r="360" spans="3:3" x14ac:dyDescent="0.2">
      <c r="C360" s="28"/>
    </row>
    <row r="361" spans="3:3" x14ac:dyDescent="0.2">
      <c r="C361" s="28"/>
    </row>
    <row r="362" spans="3:3" x14ac:dyDescent="0.2">
      <c r="C362" s="28"/>
    </row>
    <row r="363" spans="3:3" x14ac:dyDescent="0.2">
      <c r="C363" s="28"/>
    </row>
    <row r="364" spans="3:3" x14ac:dyDescent="0.2">
      <c r="C364" s="28"/>
    </row>
    <row r="365" spans="3:3" x14ac:dyDescent="0.2">
      <c r="C365" s="28"/>
    </row>
    <row r="366" spans="3:3" x14ac:dyDescent="0.2">
      <c r="C366" s="28"/>
    </row>
    <row r="367" spans="3:3" x14ac:dyDescent="0.2">
      <c r="C367" s="28"/>
    </row>
    <row r="368" spans="3:3" x14ac:dyDescent="0.2">
      <c r="C368" s="28"/>
    </row>
    <row r="369" spans="3:3" x14ac:dyDescent="0.2">
      <c r="C369" s="28"/>
    </row>
    <row r="370" spans="3:3" x14ac:dyDescent="0.2">
      <c r="C370" s="28"/>
    </row>
    <row r="371" spans="3:3" x14ac:dyDescent="0.2">
      <c r="C371" s="28"/>
    </row>
    <row r="372" spans="3:3" x14ac:dyDescent="0.2">
      <c r="C372" s="28"/>
    </row>
    <row r="373" spans="3:3" x14ac:dyDescent="0.2">
      <c r="C373" s="28"/>
    </row>
    <row r="374" spans="3:3" x14ac:dyDescent="0.2">
      <c r="C374" s="28"/>
    </row>
    <row r="375" spans="3:3" x14ac:dyDescent="0.2">
      <c r="C375" s="28"/>
    </row>
    <row r="376" spans="3:3" x14ac:dyDescent="0.2">
      <c r="C376" s="28"/>
    </row>
    <row r="377" spans="3:3" x14ac:dyDescent="0.2">
      <c r="C377" s="28"/>
    </row>
    <row r="378" spans="3:3" x14ac:dyDescent="0.2">
      <c r="C378" s="28"/>
    </row>
    <row r="379" spans="3:3" x14ac:dyDescent="0.2">
      <c r="C379" s="28"/>
    </row>
    <row r="380" spans="3:3" x14ac:dyDescent="0.2">
      <c r="C380" s="28"/>
    </row>
    <row r="381" spans="3:3" x14ac:dyDescent="0.2">
      <c r="C381" s="28"/>
    </row>
    <row r="382" spans="3:3" x14ac:dyDescent="0.2">
      <c r="C382" s="28"/>
    </row>
    <row r="383" spans="3:3" x14ac:dyDescent="0.2">
      <c r="C383" s="28"/>
    </row>
    <row r="384" spans="3:3" x14ac:dyDescent="0.2">
      <c r="C384" s="28"/>
    </row>
    <row r="385" spans="3:3" x14ac:dyDescent="0.2">
      <c r="C385" s="28"/>
    </row>
    <row r="386" spans="3:3" x14ac:dyDescent="0.2">
      <c r="C386" s="28"/>
    </row>
    <row r="387" spans="3:3" x14ac:dyDescent="0.2">
      <c r="C387" s="28"/>
    </row>
    <row r="388" spans="3:3" x14ac:dyDescent="0.2">
      <c r="C388" s="28"/>
    </row>
    <row r="389" spans="3:3" x14ac:dyDescent="0.2">
      <c r="C389" s="28"/>
    </row>
    <row r="390" spans="3:3" x14ac:dyDescent="0.2">
      <c r="C390" s="28"/>
    </row>
    <row r="391" spans="3:3" x14ac:dyDescent="0.2">
      <c r="C391" s="28"/>
    </row>
    <row r="392" spans="3:3" x14ac:dyDescent="0.2">
      <c r="C392" s="28"/>
    </row>
    <row r="393" spans="3:3" x14ac:dyDescent="0.2">
      <c r="C393" s="28"/>
    </row>
    <row r="394" spans="3:3" x14ac:dyDescent="0.2">
      <c r="C394" s="28"/>
    </row>
    <row r="395" spans="3:3" x14ac:dyDescent="0.2">
      <c r="C395" s="28"/>
    </row>
    <row r="396" spans="3:3" x14ac:dyDescent="0.2">
      <c r="C396" s="28"/>
    </row>
    <row r="397" spans="3:3" x14ac:dyDescent="0.2">
      <c r="C397" s="28"/>
    </row>
    <row r="398" spans="3:3" x14ac:dyDescent="0.2">
      <c r="C398" s="28"/>
    </row>
    <row r="399" spans="3:3" x14ac:dyDescent="0.2">
      <c r="C399" s="28"/>
    </row>
    <row r="400" spans="3:3" x14ac:dyDescent="0.2">
      <c r="C400" s="28"/>
    </row>
    <row r="401" spans="3:3" x14ac:dyDescent="0.2">
      <c r="C401" s="28"/>
    </row>
    <row r="402" spans="3:3" x14ac:dyDescent="0.2">
      <c r="C402" s="28"/>
    </row>
    <row r="403" spans="3:3" x14ac:dyDescent="0.2">
      <c r="C403" s="28"/>
    </row>
    <row r="404" spans="3:3" x14ac:dyDescent="0.2">
      <c r="C404" s="28"/>
    </row>
    <row r="405" spans="3:3" x14ac:dyDescent="0.2">
      <c r="C405" s="28"/>
    </row>
    <row r="406" spans="3:3" x14ac:dyDescent="0.2">
      <c r="C406" s="28"/>
    </row>
    <row r="407" spans="3:3" x14ac:dyDescent="0.2">
      <c r="C407" s="28"/>
    </row>
    <row r="408" spans="3:3" x14ac:dyDescent="0.2">
      <c r="C408" s="28"/>
    </row>
    <row r="409" spans="3:3" x14ac:dyDescent="0.2">
      <c r="C409" s="28"/>
    </row>
    <row r="410" spans="3:3" x14ac:dyDescent="0.2">
      <c r="C410" s="28"/>
    </row>
    <row r="411" spans="3:3" x14ac:dyDescent="0.2">
      <c r="C411" s="28"/>
    </row>
    <row r="412" spans="3:3" x14ac:dyDescent="0.2">
      <c r="C412" s="28"/>
    </row>
    <row r="413" spans="3:3" x14ac:dyDescent="0.2">
      <c r="C413" s="28"/>
    </row>
    <row r="414" spans="3:3" x14ac:dyDescent="0.2">
      <c r="C414" s="28"/>
    </row>
    <row r="415" spans="3:3" x14ac:dyDescent="0.2">
      <c r="C415" s="28"/>
    </row>
    <row r="416" spans="3:3" x14ac:dyDescent="0.2">
      <c r="C416" s="28"/>
    </row>
    <row r="417" spans="3:3" x14ac:dyDescent="0.2">
      <c r="C417" s="28"/>
    </row>
    <row r="418" spans="3:3" x14ac:dyDescent="0.2">
      <c r="C418" s="28"/>
    </row>
    <row r="419" spans="3:3" x14ac:dyDescent="0.2">
      <c r="C419" s="28"/>
    </row>
    <row r="420" spans="3:3" x14ac:dyDescent="0.2">
      <c r="C420" s="28"/>
    </row>
    <row r="421" spans="3:3" x14ac:dyDescent="0.2">
      <c r="C421" s="28"/>
    </row>
    <row r="422" spans="3:3" x14ac:dyDescent="0.2">
      <c r="C422" s="28"/>
    </row>
    <row r="423" spans="3:3" x14ac:dyDescent="0.2">
      <c r="C423" s="28"/>
    </row>
    <row r="424" spans="3:3" x14ac:dyDescent="0.2">
      <c r="C424" s="28"/>
    </row>
    <row r="425" spans="3:3" x14ac:dyDescent="0.2">
      <c r="C425" s="28"/>
    </row>
    <row r="426" spans="3:3" x14ac:dyDescent="0.2">
      <c r="C426" s="28"/>
    </row>
    <row r="427" spans="3:3" x14ac:dyDescent="0.2">
      <c r="C427" s="28"/>
    </row>
    <row r="428" spans="3:3" x14ac:dyDescent="0.2">
      <c r="C428" s="28"/>
    </row>
    <row r="429" spans="3:3" x14ac:dyDescent="0.2">
      <c r="C429" s="28"/>
    </row>
    <row r="430" spans="3:3" x14ac:dyDescent="0.2">
      <c r="C430" s="28"/>
    </row>
    <row r="431" spans="3:3" x14ac:dyDescent="0.2">
      <c r="C431" s="28"/>
    </row>
    <row r="432" spans="3:3" x14ac:dyDescent="0.2">
      <c r="C432" s="28"/>
    </row>
    <row r="433" spans="3:3" x14ac:dyDescent="0.2">
      <c r="C433" s="28"/>
    </row>
    <row r="434" spans="3:3" x14ac:dyDescent="0.2">
      <c r="C434" s="28"/>
    </row>
    <row r="435" spans="3:3" x14ac:dyDescent="0.2">
      <c r="C435" s="28"/>
    </row>
    <row r="436" spans="3:3" x14ac:dyDescent="0.2">
      <c r="C436" s="28"/>
    </row>
    <row r="437" spans="3:3" x14ac:dyDescent="0.2">
      <c r="C437" s="28"/>
    </row>
    <row r="438" spans="3:3" x14ac:dyDescent="0.2">
      <c r="C438" s="28"/>
    </row>
    <row r="439" spans="3:3" x14ac:dyDescent="0.2">
      <c r="C439" s="28"/>
    </row>
    <row r="440" spans="3:3" x14ac:dyDescent="0.2">
      <c r="C440" s="28"/>
    </row>
    <row r="441" spans="3:3" x14ac:dyDescent="0.2">
      <c r="C441" s="28"/>
    </row>
    <row r="442" spans="3:3" x14ac:dyDescent="0.2">
      <c r="C442" s="28"/>
    </row>
    <row r="443" spans="3:3" x14ac:dyDescent="0.2">
      <c r="C443" s="28"/>
    </row>
    <row r="444" spans="3:3" x14ac:dyDescent="0.2">
      <c r="C444" s="28"/>
    </row>
    <row r="445" spans="3:3" x14ac:dyDescent="0.2">
      <c r="C445" s="28"/>
    </row>
    <row r="446" spans="3:3" x14ac:dyDescent="0.2">
      <c r="C446" s="28"/>
    </row>
    <row r="447" spans="3:3" x14ac:dyDescent="0.2">
      <c r="C447" s="28"/>
    </row>
    <row r="448" spans="3:3" x14ac:dyDescent="0.2">
      <c r="C448" s="28"/>
    </row>
    <row r="449" spans="3:3" x14ac:dyDescent="0.2">
      <c r="C449" s="28"/>
    </row>
    <row r="450" spans="3:3" x14ac:dyDescent="0.2">
      <c r="C450" s="28"/>
    </row>
    <row r="451" spans="3:3" x14ac:dyDescent="0.2">
      <c r="C451" s="28"/>
    </row>
    <row r="452" spans="3:3" x14ac:dyDescent="0.2">
      <c r="C452" s="28"/>
    </row>
    <row r="453" spans="3:3" x14ac:dyDescent="0.2">
      <c r="C453" s="28"/>
    </row>
    <row r="454" spans="3:3" x14ac:dyDescent="0.2">
      <c r="C454" s="28"/>
    </row>
    <row r="455" spans="3:3" x14ac:dyDescent="0.2">
      <c r="C455" s="28"/>
    </row>
    <row r="456" spans="3:3" x14ac:dyDescent="0.2">
      <c r="C456" s="28"/>
    </row>
    <row r="457" spans="3:3" x14ac:dyDescent="0.2">
      <c r="C457" s="28"/>
    </row>
    <row r="458" spans="3:3" x14ac:dyDescent="0.2">
      <c r="C458" s="28"/>
    </row>
    <row r="459" spans="3:3" x14ac:dyDescent="0.2">
      <c r="C459" s="28"/>
    </row>
    <row r="460" spans="3:3" x14ac:dyDescent="0.2">
      <c r="C460" s="28"/>
    </row>
    <row r="461" spans="3:3" x14ac:dyDescent="0.2">
      <c r="C461" s="28"/>
    </row>
    <row r="462" spans="3:3" x14ac:dyDescent="0.2">
      <c r="C462" s="28"/>
    </row>
    <row r="463" spans="3:3" x14ac:dyDescent="0.2">
      <c r="C463" s="28"/>
    </row>
    <row r="464" spans="3:3" x14ac:dyDescent="0.2">
      <c r="C464" s="28"/>
    </row>
    <row r="465" spans="3:3" x14ac:dyDescent="0.2">
      <c r="C465" s="28"/>
    </row>
    <row r="466" spans="3:3" x14ac:dyDescent="0.2">
      <c r="C466" s="28"/>
    </row>
    <row r="467" spans="3:3" x14ac:dyDescent="0.2">
      <c r="C467" s="28"/>
    </row>
    <row r="468" spans="3:3" x14ac:dyDescent="0.2">
      <c r="C468" s="28"/>
    </row>
    <row r="469" spans="3:3" x14ac:dyDescent="0.2">
      <c r="C469" s="28"/>
    </row>
    <row r="470" spans="3:3" x14ac:dyDescent="0.2">
      <c r="C470" s="28"/>
    </row>
    <row r="471" spans="3:3" x14ac:dyDescent="0.2">
      <c r="C471" s="28"/>
    </row>
    <row r="472" spans="3:3" x14ac:dyDescent="0.2">
      <c r="C472" s="28"/>
    </row>
    <row r="473" spans="3:3" x14ac:dyDescent="0.2">
      <c r="C473" s="28"/>
    </row>
    <row r="474" spans="3:3" x14ac:dyDescent="0.2">
      <c r="C474" s="28"/>
    </row>
    <row r="475" spans="3:3" x14ac:dyDescent="0.2">
      <c r="C475" s="28"/>
    </row>
    <row r="476" spans="3:3" x14ac:dyDescent="0.2">
      <c r="C476" s="28"/>
    </row>
    <row r="477" spans="3:3" x14ac:dyDescent="0.2">
      <c r="C477" s="28"/>
    </row>
    <row r="478" spans="3:3" x14ac:dyDescent="0.2">
      <c r="C478" s="28"/>
    </row>
    <row r="479" spans="3:3" x14ac:dyDescent="0.2">
      <c r="C479" s="28"/>
    </row>
    <row r="480" spans="3:3" x14ac:dyDescent="0.2">
      <c r="C480" s="28"/>
    </row>
    <row r="481" spans="3:3" x14ac:dyDescent="0.2">
      <c r="C481" s="28"/>
    </row>
    <row r="482" spans="3:3" x14ac:dyDescent="0.2">
      <c r="C482" s="28"/>
    </row>
    <row r="483" spans="3:3" x14ac:dyDescent="0.2">
      <c r="C483" s="28"/>
    </row>
    <row r="484" spans="3:3" x14ac:dyDescent="0.2">
      <c r="C484" s="28"/>
    </row>
    <row r="485" spans="3:3" x14ac:dyDescent="0.2">
      <c r="C485" s="28"/>
    </row>
    <row r="486" spans="3:3" x14ac:dyDescent="0.2">
      <c r="C486" s="28"/>
    </row>
    <row r="487" spans="3:3" x14ac:dyDescent="0.2">
      <c r="C487" s="28"/>
    </row>
    <row r="488" spans="3:3" x14ac:dyDescent="0.2">
      <c r="C488" s="28"/>
    </row>
    <row r="489" spans="3:3" x14ac:dyDescent="0.2">
      <c r="C489" s="28"/>
    </row>
    <row r="490" spans="3:3" x14ac:dyDescent="0.2">
      <c r="C490" s="28"/>
    </row>
    <row r="491" spans="3:3" x14ac:dyDescent="0.2">
      <c r="C491" s="28"/>
    </row>
    <row r="492" spans="3:3" x14ac:dyDescent="0.2">
      <c r="C492" s="28"/>
    </row>
    <row r="493" spans="3:3" x14ac:dyDescent="0.2">
      <c r="C493" s="28"/>
    </row>
    <row r="494" spans="3:3" x14ac:dyDescent="0.2">
      <c r="C494" s="28"/>
    </row>
    <row r="495" spans="3:3" x14ac:dyDescent="0.2">
      <c r="C495" s="28"/>
    </row>
    <row r="496" spans="3:3" x14ac:dyDescent="0.2">
      <c r="C496" s="28"/>
    </row>
    <row r="497" spans="3:3" x14ac:dyDescent="0.2">
      <c r="C497" s="28"/>
    </row>
    <row r="498" spans="3:3" x14ac:dyDescent="0.2">
      <c r="C498" s="28"/>
    </row>
    <row r="499" spans="3:3" x14ac:dyDescent="0.2">
      <c r="C499" s="28"/>
    </row>
    <row r="500" spans="3:3" x14ac:dyDescent="0.2">
      <c r="C500" s="28"/>
    </row>
  </sheetData>
  <mergeCells count="40">
    <mergeCell ref="C120:C121"/>
    <mergeCell ref="D3:E3"/>
    <mergeCell ref="D80:F80"/>
    <mergeCell ref="D108:D109"/>
    <mergeCell ref="D92:F92"/>
    <mergeCell ref="D101:E101"/>
    <mergeCell ref="E89:H89"/>
    <mergeCell ref="D1:E1"/>
    <mergeCell ref="F1:H1"/>
    <mergeCell ref="D9:G9"/>
    <mergeCell ref="H87:I87"/>
    <mergeCell ref="D85:D87"/>
    <mergeCell ref="D4:E4"/>
    <mergeCell ref="D2:E2"/>
    <mergeCell ref="G161:J162"/>
    <mergeCell ref="K6:O7"/>
    <mergeCell ref="L12:N12"/>
    <mergeCell ref="L13:N13"/>
    <mergeCell ref="L11:N11"/>
    <mergeCell ref="K149:N149"/>
    <mergeCell ref="L14:N14"/>
    <mergeCell ref="L15:N15"/>
    <mergeCell ref="K9:O9"/>
    <mergeCell ref="K20:O20"/>
    <mergeCell ref="K24:O24"/>
    <mergeCell ref="K22:O22"/>
    <mergeCell ref="K18:O18"/>
    <mergeCell ref="H113:I113"/>
    <mergeCell ref="L16:N16"/>
    <mergeCell ref="B111:J111"/>
    <mergeCell ref="K214:K215"/>
    <mergeCell ref="B219:E219"/>
    <mergeCell ref="G187:J187"/>
    <mergeCell ref="G188:J188"/>
    <mergeCell ref="D214:D215"/>
    <mergeCell ref="D201:E201"/>
    <mergeCell ref="B197:B205"/>
    <mergeCell ref="J192:J193"/>
    <mergeCell ref="G211:J211"/>
    <mergeCell ref="K195:M195"/>
  </mergeCells>
  <phoneticPr fontId="0" type="noConversion"/>
  <dataValidations count="2">
    <dataValidation type="list" allowBlank="1" showInputMessage="1" showErrorMessage="1" sqref="E116" xr:uid="{18887585-FC86-483E-B88D-038E2EECD3FE}">
      <formula1>$I$115:$I$117</formula1>
    </dataValidation>
    <dataValidation type="list" allowBlank="1" showInputMessage="1" showErrorMessage="1" sqref="F207" xr:uid="{F69B00AB-C03C-49B5-A455-050A2BF3729E}">
      <formula1>$I$204:$I$209</formula1>
    </dataValidation>
  </dataValidations>
  <hyperlinks>
    <hyperlink ref="K154" r:id="rId1" location="Comma1" display="http://www.eutekne.it/Servizi/RassegnaLeggi/Recensione_Articolo.aspx?IDLegge=247&amp;IDArticolo=38536&amp;IDSrc=100 - Comma1" xr:uid="{00000000-0004-0000-0000-000000000000}"/>
  </hyperlinks>
  <printOptions gridLines="1" gridLinesSet="0"/>
  <pageMargins left="0.15748031496062992" right="0.19685039370078741" top="0.39370078740157483" bottom="0.31496062992125984" header="0.23622047244094491" footer="0.15748031496062992"/>
  <pageSetup paperSize="9" scale="64" orientation="landscape" r:id="rId2"/>
  <headerFooter alignWithMargins="0">
    <oddHeader>&amp;Ccalcolo imposte
&amp;R&amp;8Studio Comm.le Ricci e Ass.ti</oddHeader>
    <oddFooter>Pagina &amp;P</oddFooter>
  </headerFooter>
  <rowBreaks count="4" manualBreakCount="4">
    <brk id="52" max="16383" man="1"/>
    <brk id="109" max="9" man="1"/>
    <brk id="159" max="9" man="1"/>
    <brk id="216" max="9" man="1"/>
  </rowBrea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H20" sqref="H20"/>
    </sheetView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B30" sqref="B30"/>
    </sheetView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5A4A44-4437-423C-AFC6-52E8439AAD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16</vt:i4>
      </vt:variant>
      <vt:variant>
        <vt:lpstr>Intervalli denominati</vt:lpstr>
      </vt:variant>
      <vt:variant>
        <vt:i4>1</vt:i4>
      </vt:variant>
    </vt:vector>
  </HeadingPairs>
  <TitlesOfParts>
    <vt:vector size="17" baseType="lpstr">
      <vt:lpstr>Foglio1</vt:lpstr>
      <vt:lpstr>Foglio2</vt:lpstr>
      <vt:lpstr>Foglio3</vt:lpstr>
      <vt:lpstr>Foglio4</vt:lpstr>
      <vt:lpstr>Foglio5</vt:lpstr>
      <vt:lpstr>Foglio6</vt:lpstr>
      <vt:lpstr>Foglio7</vt:lpstr>
      <vt:lpstr>Foglio8</vt:lpstr>
      <vt:lpstr>Foglio9</vt:lpstr>
      <vt:lpstr>Foglio10</vt:lpstr>
      <vt:lpstr>Foglio11</vt:lpstr>
      <vt:lpstr>Foglio12</vt:lpstr>
      <vt:lpstr>Foglio13</vt:lpstr>
      <vt:lpstr>Foglio14</vt:lpstr>
      <vt:lpstr>Foglio15</vt:lpstr>
      <vt:lpstr>Foglio16</vt:lpstr>
      <vt:lpstr>Foglio1!Area_stampa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stimpost</dc:title>
  <dc:subject>prospetto calcolo imposte</dc:subject>
  <dc:creator>RICCI  ROBERTO</dc:creator>
  <cp:lastModifiedBy>Matteo Eusebi</cp:lastModifiedBy>
  <cp:lastPrinted>2026-03-26T10:43:37Z</cp:lastPrinted>
  <dcterms:created xsi:type="dcterms:W3CDTF">1996-01-02T13:35:17Z</dcterms:created>
  <dcterms:modified xsi:type="dcterms:W3CDTF">2026-03-26T10:44:16Z</dcterms:modified>
</cp:coreProperties>
</file>